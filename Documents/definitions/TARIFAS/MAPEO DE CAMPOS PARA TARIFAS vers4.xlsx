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T" sheetId="1" r:id="rId4"/>
    <sheet state="visible" name="CIA CONTENEDOR" sheetId="2" r:id="rId5"/>
    <sheet state="visible" name="CIA CARGA SUELTA" sheetId="3" r:id="rId6"/>
    <sheet state="visible" name="CIASERVICIOS ADIC" sheetId="4" r:id="rId7"/>
    <sheet state="visible" name="EST CONTEDOR-CARGA SUELTA" sheetId="5" r:id="rId8"/>
    <sheet state="visible" name="ESTSERVICIOS ADICIONALES" sheetId="6" r:id="rId9"/>
  </sheets>
  <definedNames/>
  <calcPr/>
</workbook>
</file>

<file path=xl/sharedStrings.xml><?xml version="1.0" encoding="utf-8"?>
<sst xmlns="http://schemas.openxmlformats.org/spreadsheetml/2006/main" count="749" uniqueCount="137">
  <si>
    <t>TARIFAS TyT</t>
  </si>
  <si>
    <t>BASE DE DATOS:TYT</t>
  </si>
  <si>
    <t>Realizado por:</t>
  </si>
  <si>
    <t>Robinson Macias</t>
  </si>
  <si>
    <t>Nombre del campo</t>
  </si>
  <si>
    <t>Tipo de Campo</t>
  </si>
  <si>
    <t>Tipo de dato</t>
  </si>
  <si>
    <t>Nomenclatura en BD</t>
  </si>
  <si>
    <t>TABLA BD</t>
  </si>
  <si>
    <t>¿CAMPO OBLIGATORIO?</t>
  </si>
  <si>
    <t>Consideración</t>
  </si>
  <si>
    <t>Tipo de Servicio</t>
  </si>
  <si>
    <t>Tipo Lista</t>
  </si>
  <si>
    <t>char(10)</t>
  </si>
  <si>
    <t>tipoTarifaID</t>
  </si>
  <si>
    <t>CLI_PRODUCTOS_PRECIOS</t>
  </si>
  <si>
    <t>SI</t>
  </si>
  <si>
    <t>Es un ID que referencia a la SIS_PARAMETROS</t>
  </si>
  <si>
    <t>Honorario (Rubro)</t>
  </si>
  <si>
    <t>ProductoID</t>
  </si>
  <si>
    <t>Referencia al ID de INV_PRODUCTOS</t>
  </si>
  <si>
    <t>Valor</t>
  </si>
  <si>
    <t>numérico</t>
  </si>
  <si>
    <t>money</t>
  </si>
  <si>
    <t>Precio</t>
  </si>
  <si>
    <t>Viaja desde ZOHO CRM</t>
  </si>
  <si>
    <t>Numero de Cotización</t>
  </si>
  <si>
    <t>texto</t>
  </si>
  <si>
    <t>varchar(15)</t>
  </si>
  <si>
    <t>NumeroCotizacion</t>
  </si>
  <si>
    <t>Valido desde</t>
  </si>
  <si>
    <t>fecha</t>
  </si>
  <si>
    <t>datetime</t>
  </si>
  <si>
    <t>FechaValidezDesde</t>
  </si>
  <si>
    <t>Valido Hasta</t>
  </si>
  <si>
    <t>FechaValidezHasta</t>
  </si>
  <si>
    <t>Captado Por</t>
  </si>
  <si>
    <t>varchar(10)</t>
  </si>
  <si>
    <t>asesorCaptacionID</t>
  </si>
  <si>
    <t>ID que refiere a la vista tyt..vw_asesor_captacion</t>
  </si>
  <si>
    <t>Observaciones</t>
  </si>
  <si>
    <t>varchar(1024)</t>
  </si>
  <si>
    <t>Tipo Cotización (Paquete Comercial)</t>
  </si>
  <si>
    <t>TipoCotizacionID</t>
  </si>
  <si>
    <t>ZohoCrmId</t>
  </si>
  <si>
    <t>ID que viaja desde Zoho CRM y sirve para identificar la tarifa para su actualización.</t>
  </si>
  <si>
    <t>Estado</t>
  </si>
  <si>
    <t>booleano</t>
  </si>
  <si>
    <t>bit</t>
  </si>
  <si>
    <t>anulado,anuladopor,anuladonota,AnuladoDate</t>
  </si>
  <si>
    <t>1 significa que está anulada la tarifa, 0 lo contrario. Se tiene que guardar el usuario APIZOHO como usuario que desactiva la tarifa, la fecha y una nota de desactivación de la tarifa</t>
  </si>
  <si>
    <t>TARIFAS CIA: CONTENEDOR</t>
  </si>
  <si>
    <t>BASE DE DATOS:CIA</t>
  </si>
  <si>
    <t>TipoServicioID</t>
  </si>
  <si>
    <t>CLI_CLIENTES_TARIFAS_CONTENEDOR</t>
  </si>
  <si>
    <t>Honorario</t>
  </si>
  <si>
    <t>N/A</t>
  </si>
  <si>
    <t>Contenedor</t>
  </si>
  <si>
    <t>CargaID</t>
  </si>
  <si>
    <t>Es un ID que referencia a la TRA_CARGAS</t>
  </si>
  <si>
    <t>Tipo de Contenedor</t>
  </si>
  <si>
    <t>TipoTarifaID</t>
  </si>
  <si>
    <t>Peso Min</t>
  </si>
  <si>
    <t>numeric(18,2)</t>
  </si>
  <si>
    <t>PesoMinimo</t>
  </si>
  <si>
    <t>Peso Max</t>
  </si>
  <si>
    <t>PesoMaximo</t>
  </si>
  <si>
    <t>Ruta</t>
  </si>
  <si>
    <t>RutaID</t>
  </si>
  <si>
    <t>Es un ID que referencia a la TRA_RUTAS</t>
  </si>
  <si>
    <t>Descripcion de ruta</t>
  </si>
  <si>
    <t>Tipo operacion</t>
  </si>
  <si>
    <t>TipoOperacionID</t>
  </si>
  <si>
    <t>Tipo de equipo</t>
  </si>
  <si>
    <t>TipoEquipoID</t>
  </si>
  <si>
    <t>Horario</t>
  </si>
  <si>
    <t>TipoHorarioID</t>
  </si>
  <si>
    <t>Tipo de Honorario</t>
  </si>
  <si>
    <t>TipoHonorarioID</t>
  </si>
  <si>
    <t>Numero de cotizacion</t>
  </si>
  <si>
    <t>Tipo de cotizacion</t>
  </si>
  <si>
    <t>Tiempo de descarga</t>
  </si>
  <si>
    <t>numeric(6,2)</t>
  </si>
  <si>
    <t>TiempoDescarga</t>
  </si>
  <si>
    <t>ValidoDesde</t>
  </si>
  <si>
    <t>Valido hasta</t>
  </si>
  <si>
    <t>ValidoHasta</t>
  </si>
  <si>
    <t>Captado por</t>
  </si>
  <si>
    <t>AsesorCaptacionID</t>
  </si>
  <si>
    <t>Observacion</t>
  </si>
  <si>
    <t>Nota</t>
  </si>
  <si>
    <t>1 significa que está anulada la tarifa, 0 lo contrario. Se tiene que guardar el usuario APIZOHO como usuario que desactiva la tarifa, la fecha  y una nota de desactivación de la tarifa</t>
  </si>
  <si>
    <t>TARIFAS CIA: CARGA SUELTA</t>
  </si>
  <si>
    <t>Tipo Servicio</t>
  </si>
  <si>
    <t>CLI_CLIENTES_TARIFAS_CARGA_SUELTA</t>
  </si>
  <si>
    <t>Tipo de camion</t>
  </si>
  <si>
    <t>TipoCamion</t>
  </si>
  <si>
    <t>Peso desde</t>
  </si>
  <si>
    <t>decimal(20, 2)</t>
  </si>
  <si>
    <t>PesoDesde</t>
  </si>
  <si>
    <t>Peso hasta</t>
  </si>
  <si>
    <t>PesoHasta</t>
  </si>
  <si>
    <t>Valor peso</t>
  </si>
  <si>
    <t>Volumen desde</t>
  </si>
  <si>
    <t>VolumenDesde</t>
  </si>
  <si>
    <t>Volumen hasta</t>
  </si>
  <si>
    <t>VolumenHasta</t>
  </si>
  <si>
    <t>Valor por volumen</t>
  </si>
  <si>
    <t>PrecioVolumen</t>
  </si>
  <si>
    <t>char(1024)</t>
  </si>
  <si>
    <t>Adicional</t>
  </si>
  <si>
    <t>TARIFAS CIA: 
SERVICIOS ADICIONALES</t>
  </si>
  <si>
    <t>HonorarioID</t>
  </si>
  <si>
    <t>CLI_CLIENTES_TARIFAS_SERVICIOS_ADICIONALES</t>
  </si>
  <si>
    <t>Es in ID que refiere a INV_PRODUCTOS</t>
  </si>
  <si>
    <t>Es in ID que refiere a TRA_RUTAS</t>
  </si>
  <si>
    <t>TARIFAS ESTIBAS: 
CONTENEDOR/CARGA SUELTA</t>
  </si>
  <si>
    <t>BASE DE DATOS:ESTIBA</t>
  </si>
  <si>
    <t>Tipo de servicio</t>
  </si>
  <si>
    <t>CLI_CLIENTES_TARIFAS</t>
  </si>
  <si>
    <t>Ciudad</t>
  </si>
  <si>
    <t>CiudadID</t>
  </si>
  <si>
    <t>Tipo de carga</t>
  </si>
  <si>
    <t>Es un ID que referencia a la INV_PRODUCTOS</t>
  </si>
  <si>
    <t>Tipo de operacion</t>
  </si>
  <si>
    <t>Tipo de jornada</t>
  </si>
  <si>
    <t>TipoJornadaID</t>
  </si>
  <si>
    <t>Horas de trabajo desde</t>
  </si>
  <si>
    <t>varchar(5)</t>
  </si>
  <si>
    <t>HorasTrabajoDesde</t>
  </si>
  <si>
    <t>Horas de trabajo hasta</t>
  </si>
  <si>
    <t>HorasTrabajoHasta</t>
  </si>
  <si>
    <t>anulado,anuladopor,AnuladoDate</t>
  </si>
  <si>
    <t xml:space="preserve">1 significa que está anulada la tarifa, 0 lo contrario. Se tiene que guardar el usuario APIZOHO como usuario que desactiva la tarifa,  la fecha </t>
  </si>
  <si>
    <t>TARIFAS ESTIBAS: SERVICIOS ADICIONALES</t>
  </si>
  <si>
    <t>CLI_CLIENTES_HONORARIOS_ADICIONAL</t>
  </si>
  <si>
    <t>varchar(250)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</si>
</sst>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4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u/>
      <sz val="12.0"/>
      <color theme="0"/>
      <name val="Calibri"/>
    </font>
    <font>
      <b/>
      <u/>
      <sz val="12.0"/>
      <color theme="0"/>
      <name val="Calibri"/>
    </font>
    <font>
      <sz val="11.0"/>
      <color rgb="FF0000FF"/>
      <name val="Consolas"/>
    </font>
    <font>
      <sz val="11.0"/>
      <color rgb="FF000000"/>
      <name val="Consolas"/>
    </font>
    <font>
      <color rgb="FF313949"/>
      <name val="LatoRegular"/>
    </font>
  </fonts>
  <fills count="5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1" fillId="3" fontId="6" numFmtId="0" xfId="0" applyAlignment="1" applyBorder="1" applyFill="1" applyFont="1">
      <alignment readingOrder="0"/>
    </xf>
    <xf borderId="1" fillId="3" fontId="7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3" fontId="6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4" fontId="3" numFmtId="0" xfId="0" applyAlignment="1" applyBorder="1" applyFill="1" applyFont="1">
      <alignment readingOrder="0" shrinkToFit="0" wrapText="1"/>
    </xf>
    <xf borderId="1" fillId="4" fontId="7" numFmtId="0" xfId="0" applyAlignment="1" applyBorder="1" applyFont="1">
      <alignment readingOrder="0" shrinkToFit="0" wrapText="1"/>
    </xf>
    <xf borderId="1" fillId="4" fontId="6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3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0</xdr:row>
      <xdr:rowOff>38100</xdr:rowOff>
    </xdr:from>
    <xdr:ext cx="1209675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57150</xdr:rowOff>
    </xdr:from>
    <xdr:ext cx="1238250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0</xdr:row>
      <xdr:rowOff>38100</xdr:rowOff>
    </xdr:from>
    <xdr:ext cx="1247775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57150</xdr:rowOff>
    </xdr:from>
    <xdr:ext cx="1171575" cy="657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38100</xdr:rowOff>
    </xdr:from>
    <xdr:ext cx="1190625" cy="68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123825</xdr:rowOff>
    </xdr:from>
    <xdr:ext cx="742950" cy="523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5.25"/>
    <col customWidth="1" min="5" max="5" width="23.5"/>
    <col customWidth="1" min="6" max="6" width="20.38"/>
    <col customWidth="1" min="7" max="7" width="37.25"/>
  </cols>
  <sheetData>
    <row r="1">
      <c r="A1" s="1" t="s">
        <v>0</v>
      </c>
      <c r="F1" s="2" t="s">
        <v>1</v>
      </c>
      <c r="H1" s="3"/>
    </row>
    <row r="2">
      <c r="H2" s="3"/>
    </row>
    <row r="5">
      <c r="F5" s="4" t="s">
        <v>2</v>
      </c>
      <c r="G5" s="3" t="s">
        <v>3</v>
      </c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</row>
    <row r="8">
      <c r="A8" s="7" t="s">
        <v>11</v>
      </c>
      <c r="B8" s="8" t="s">
        <v>12</v>
      </c>
      <c r="C8" s="8" t="s">
        <v>13</v>
      </c>
      <c r="D8" s="9" t="s">
        <v>14</v>
      </c>
      <c r="E8" s="9" t="s">
        <v>15</v>
      </c>
      <c r="F8" s="10" t="s">
        <v>16</v>
      </c>
      <c r="G8" s="7" t="s">
        <v>17</v>
      </c>
    </row>
    <row r="9">
      <c r="A9" s="7" t="s">
        <v>18</v>
      </c>
      <c r="B9" s="8" t="s">
        <v>12</v>
      </c>
      <c r="C9" s="8" t="s">
        <v>13</v>
      </c>
      <c r="D9" s="9" t="s">
        <v>19</v>
      </c>
      <c r="E9" s="9" t="s">
        <v>15</v>
      </c>
      <c r="F9" s="10" t="s">
        <v>16</v>
      </c>
      <c r="G9" s="7" t="s">
        <v>20</v>
      </c>
    </row>
    <row r="10">
      <c r="A10" s="7" t="s">
        <v>21</v>
      </c>
      <c r="B10" s="8" t="s">
        <v>22</v>
      </c>
      <c r="C10" s="8" t="s">
        <v>23</v>
      </c>
      <c r="D10" s="9" t="s">
        <v>24</v>
      </c>
      <c r="E10" s="9" t="s">
        <v>15</v>
      </c>
      <c r="F10" s="10" t="s">
        <v>16</v>
      </c>
      <c r="G10" s="7" t="s">
        <v>25</v>
      </c>
    </row>
    <row r="11">
      <c r="A11" s="7" t="s">
        <v>26</v>
      </c>
      <c r="B11" s="8" t="s">
        <v>27</v>
      </c>
      <c r="C11" s="8" t="s">
        <v>28</v>
      </c>
      <c r="D11" s="9" t="s">
        <v>29</v>
      </c>
      <c r="E11" s="9" t="s">
        <v>15</v>
      </c>
      <c r="F11" s="10" t="s">
        <v>16</v>
      </c>
      <c r="G11" s="7" t="s">
        <v>25</v>
      </c>
    </row>
    <row r="12">
      <c r="A12" s="7" t="s">
        <v>30</v>
      </c>
      <c r="B12" s="8" t="s">
        <v>31</v>
      </c>
      <c r="C12" s="8" t="s">
        <v>32</v>
      </c>
      <c r="D12" s="9" t="s">
        <v>33</v>
      </c>
      <c r="E12" s="9" t="s">
        <v>15</v>
      </c>
      <c r="F12" s="10" t="s">
        <v>16</v>
      </c>
      <c r="G12" s="7" t="s">
        <v>25</v>
      </c>
    </row>
    <row r="13">
      <c r="A13" s="7" t="s">
        <v>34</v>
      </c>
      <c r="B13" s="8" t="s">
        <v>31</v>
      </c>
      <c r="C13" s="8" t="s">
        <v>32</v>
      </c>
      <c r="D13" s="9" t="s">
        <v>35</v>
      </c>
      <c r="E13" s="9" t="s">
        <v>15</v>
      </c>
      <c r="F13" s="10" t="s">
        <v>16</v>
      </c>
      <c r="G13" s="7" t="s">
        <v>25</v>
      </c>
    </row>
    <row r="14">
      <c r="A14" s="7" t="s">
        <v>36</v>
      </c>
      <c r="B14" s="8" t="s">
        <v>12</v>
      </c>
      <c r="C14" s="8" t="s">
        <v>37</v>
      </c>
      <c r="D14" s="9" t="s">
        <v>38</v>
      </c>
      <c r="E14" s="9" t="s">
        <v>15</v>
      </c>
      <c r="F14" s="10" t="s">
        <v>16</v>
      </c>
      <c r="G14" s="7" t="s">
        <v>39</v>
      </c>
    </row>
    <row r="15">
      <c r="A15" s="7" t="s">
        <v>40</v>
      </c>
      <c r="B15" s="8" t="s">
        <v>27</v>
      </c>
      <c r="C15" s="8" t="s">
        <v>41</v>
      </c>
      <c r="D15" s="9" t="s">
        <v>40</v>
      </c>
      <c r="E15" s="9" t="s">
        <v>15</v>
      </c>
      <c r="F15" s="10" t="s">
        <v>16</v>
      </c>
      <c r="G15" s="7" t="s">
        <v>25</v>
      </c>
    </row>
    <row r="16">
      <c r="A16" s="7" t="s">
        <v>42</v>
      </c>
      <c r="B16" s="8" t="s">
        <v>12</v>
      </c>
      <c r="C16" s="8" t="s">
        <v>37</v>
      </c>
      <c r="D16" s="9" t="s">
        <v>43</v>
      </c>
      <c r="E16" s="9" t="s">
        <v>15</v>
      </c>
      <c r="F16" s="10" t="s">
        <v>16</v>
      </c>
      <c r="G16" s="7" t="s">
        <v>17</v>
      </c>
    </row>
    <row r="17">
      <c r="A17" s="7" t="s">
        <v>44</v>
      </c>
      <c r="B17" s="8" t="s">
        <v>27</v>
      </c>
      <c r="C17" s="8" t="s">
        <v>37</v>
      </c>
      <c r="D17" s="9" t="s">
        <v>44</v>
      </c>
      <c r="E17" s="9" t="s">
        <v>15</v>
      </c>
      <c r="F17" s="10" t="s">
        <v>16</v>
      </c>
      <c r="G17" s="11" t="s">
        <v>45</v>
      </c>
    </row>
    <row r="18">
      <c r="A18" s="7" t="s">
        <v>46</v>
      </c>
      <c r="B18" s="8" t="s">
        <v>47</v>
      </c>
      <c r="C18" s="8" t="s">
        <v>48</v>
      </c>
      <c r="D18" s="12" t="s">
        <v>49</v>
      </c>
      <c r="E18" s="9" t="s">
        <v>15</v>
      </c>
      <c r="F18" s="10" t="s">
        <v>16</v>
      </c>
      <c r="G18" s="11" t="s">
        <v>50</v>
      </c>
    </row>
  </sheetData>
  <mergeCells count="2">
    <mergeCell ref="A1:E4"/>
    <mergeCell ref="F1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33.25"/>
    <col customWidth="1" min="6" max="6" width="20.38"/>
    <col customWidth="1" min="7" max="7" width="37.25"/>
  </cols>
  <sheetData>
    <row r="1">
      <c r="A1" s="13" t="s">
        <v>51</v>
      </c>
      <c r="F1" s="14" t="s">
        <v>52</v>
      </c>
      <c r="H1" s="15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H2" s="15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6"/>
      <c r="B5" s="16"/>
      <c r="C5" s="16"/>
      <c r="D5" s="16"/>
      <c r="E5" s="16"/>
      <c r="F5" s="17" t="s">
        <v>2</v>
      </c>
      <c r="G5" s="15" t="s">
        <v>3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1" t="s">
        <v>11</v>
      </c>
      <c r="B8" s="18" t="s">
        <v>12</v>
      </c>
      <c r="C8" s="18" t="s">
        <v>13</v>
      </c>
      <c r="D8" s="19" t="s">
        <v>53</v>
      </c>
      <c r="E8" s="19" t="s">
        <v>54</v>
      </c>
      <c r="F8" s="20" t="s">
        <v>16</v>
      </c>
      <c r="G8" s="11" t="s">
        <v>17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21" t="s">
        <v>55</v>
      </c>
      <c r="B9" s="22" t="s">
        <v>56</v>
      </c>
      <c r="C9" s="22" t="s">
        <v>56</v>
      </c>
      <c r="D9" s="22" t="s">
        <v>56</v>
      </c>
      <c r="E9" s="22" t="s">
        <v>56</v>
      </c>
      <c r="F9" s="22" t="s">
        <v>56</v>
      </c>
      <c r="G9" s="22" t="s">
        <v>56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1" t="s">
        <v>57</v>
      </c>
      <c r="B10" s="18" t="s">
        <v>12</v>
      </c>
      <c r="C10" s="18" t="s">
        <v>13</v>
      </c>
      <c r="D10" s="19" t="s">
        <v>58</v>
      </c>
      <c r="E10" s="19" t="s">
        <v>54</v>
      </c>
      <c r="F10" s="20" t="s">
        <v>16</v>
      </c>
      <c r="G10" s="11" t="s">
        <v>59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1" t="s">
        <v>60</v>
      </c>
      <c r="B11" s="18" t="s">
        <v>12</v>
      </c>
      <c r="C11" s="18" t="s">
        <v>13</v>
      </c>
      <c r="D11" s="19" t="s">
        <v>61</v>
      </c>
      <c r="E11" s="19" t="s">
        <v>54</v>
      </c>
      <c r="F11" s="20" t="s">
        <v>16</v>
      </c>
      <c r="G11" s="11" t="s">
        <v>17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1" t="s">
        <v>62</v>
      </c>
      <c r="B12" s="18" t="s">
        <v>22</v>
      </c>
      <c r="C12" s="18" t="s">
        <v>63</v>
      </c>
      <c r="D12" s="19" t="s">
        <v>64</v>
      </c>
      <c r="E12" s="19" t="s">
        <v>54</v>
      </c>
      <c r="F12" s="20" t="s">
        <v>16</v>
      </c>
      <c r="G12" s="11" t="s">
        <v>25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1" t="s">
        <v>65</v>
      </c>
      <c r="B13" s="18" t="s">
        <v>22</v>
      </c>
      <c r="C13" s="18" t="s">
        <v>63</v>
      </c>
      <c r="D13" s="19" t="s">
        <v>66</v>
      </c>
      <c r="E13" s="19" t="s">
        <v>54</v>
      </c>
      <c r="F13" s="20" t="s">
        <v>16</v>
      </c>
      <c r="G13" s="11" t="s">
        <v>25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1" t="s">
        <v>67</v>
      </c>
      <c r="B14" s="18" t="s">
        <v>12</v>
      </c>
      <c r="C14" s="18" t="s">
        <v>13</v>
      </c>
      <c r="D14" s="19" t="s">
        <v>68</v>
      </c>
      <c r="E14" s="19" t="s">
        <v>54</v>
      </c>
      <c r="F14" s="20" t="s">
        <v>16</v>
      </c>
      <c r="G14" s="11" t="s">
        <v>69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21" t="s">
        <v>70</v>
      </c>
      <c r="B15" s="23" t="s">
        <v>56</v>
      </c>
      <c r="C15" s="23" t="s">
        <v>56</v>
      </c>
      <c r="D15" s="22" t="s">
        <v>56</v>
      </c>
      <c r="E15" s="22" t="s">
        <v>56</v>
      </c>
      <c r="F15" s="22" t="s">
        <v>56</v>
      </c>
      <c r="G15" s="22" t="s">
        <v>56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1" t="s">
        <v>71</v>
      </c>
      <c r="B16" s="18" t="s">
        <v>12</v>
      </c>
      <c r="C16" s="18" t="s">
        <v>37</v>
      </c>
      <c r="D16" s="19" t="s">
        <v>72</v>
      </c>
      <c r="E16" s="19" t="s">
        <v>54</v>
      </c>
      <c r="F16" s="20" t="s">
        <v>16</v>
      </c>
      <c r="G16" s="11" t="s">
        <v>17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1" t="s">
        <v>73</v>
      </c>
      <c r="B17" s="18" t="s">
        <v>12</v>
      </c>
      <c r="C17" s="18" t="s">
        <v>37</v>
      </c>
      <c r="D17" s="19" t="s">
        <v>74</v>
      </c>
      <c r="E17" s="19" t="s">
        <v>54</v>
      </c>
      <c r="F17" s="20" t="s">
        <v>16</v>
      </c>
      <c r="G17" s="11" t="s">
        <v>17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1" t="s">
        <v>75</v>
      </c>
      <c r="B18" s="18" t="s">
        <v>12</v>
      </c>
      <c r="C18" s="18" t="s">
        <v>37</v>
      </c>
      <c r="D18" s="19" t="s">
        <v>76</v>
      </c>
      <c r="E18" s="19" t="s">
        <v>54</v>
      </c>
      <c r="F18" s="20" t="s">
        <v>16</v>
      </c>
      <c r="G18" s="11" t="s">
        <v>17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1" t="s">
        <v>77</v>
      </c>
      <c r="B19" s="18" t="s">
        <v>12</v>
      </c>
      <c r="C19" s="18" t="s">
        <v>37</v>
      </c>
      <c r="D19" s="19" t="s">
        <v>78</v>
      </c>
      <c r="E19" s="19" t="s">
        <v>54</v>
      </c>
      <c r="F19" s="20" t="s">
        <v>16</v>
      </c>
      <c r="G19" s="11" t="s">
        <v>17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1" t="s">
        <v>79</v>
      </c>
      <c r="B20" s="18" t="s">
        <v>27</v>
      </c>
      <c r="C20" s="18" t="s">
        <v>28</v>
      </c>
      <c r="D20" s="19" t="s">
        <v>29</v>
      </c>
      <c r="E20" s="19" t="s">
        <v>54</v>
      </c>
      <c r="F20" s="20" t="s">
        <v>16</v>
      </c>
      <c r="G20" s="11" t="s">
        <v>25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1" t="s">
        <v>80</v>
      </c>
      <c r="B21" s="18" t="s">
        <v>12</v>
      </c>
      <c r="C21" s="18" t="s">
        <v>37</v>
      </c>
      <c r="D21" s="19" t="s">
        <v>43</v>
      </c>
      <c r="E21" s="19" t="s">
        <v>54</v>
      </c>
      <c r="F21" s="20" t="s">
        <v>16</v>
      </c>
      <c r="G21" s="11" t="s">
        <v>17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1" t="s">
        <v>21</v>
      </c>
      <c r="B22" s="18" t="s">
        <v>22</v>
      </c>
      <c r="C22" s="18" t="s">
        <v>23</v>
      </c>
      <c r="D22" s="19" t="s">
        <v>24</v>
      </c>
      <c r="E22" s="19" t="s">
        <v>54</v>
      </c>
      <c r="F22" s="20" t="s">
        <v>16</v>
      </c>
      <c r="G22" s="11" t="s">
        <v>17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1" t="s">
        <v>81</v>
      </c>
      <c r="B23" s="18" t="s">
        <v>22</v>
      </c>
      <c r="C23" s="18" t="s">
        <v>82</v>
      </c>
      <c r="D23" s="19" t="s">
        <v>83</v>
      </c>
      <c r="E23" s="19" t="s">
        <v>54</v>
      </c>
      <c r="F23" s="20" t="s">
        <v>16</v>
      </c>
      <c r="G23" s="11" t="s">
        <v>25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1" t="s">
        <v>30</v>
      </c>
      <c r="B24" s="18" t="s">
        <v>31</v>
      </c>
      <c r="C24" s="18" t="s">
        <v>32</v>
      </c>
      <c r="D24" s="19" t="s">
        <v>84</v>
      </c>
      <c r="E24" s="19" t="s">
        <v>54</v>
      </c>
      <c r="F24" s="20" t="s">
        <v>16</v>
      </c>
      <c r="G24" s="11" t="s">
        <v>25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1" t="s">
        <v>85</v>
      </c>
      <c r="B25" s="18" t="s">
        <v>31</v>
      </c>
      <c r="C25" s="18" t="s">
        <v>32</v>
      </c>
      <c r="D25" s="19" t="s">
        <v>86</v>
      </c>
      <c r="E25" s="19" t="s">
        <v>54</v>
      </c>
      <c r="F25" s="20" t="s">
        <v>16</v>
      </c>
      <c r="G25" s="11" t="s">
        <v>25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1" t="s">
        <v>87</v>
      </c>
      <c r="B26" s="18" t="s">
        <v>12</v>
      </c>
      <c r="C26" s="18" t="s">
        <v>37</v>
      </c>
      <c r="D26" s="19" t="s">
        <v>88</v>
      </c>
      <c r="E26" s="19" t="s">
        <v>54</v>
      </c>
      <c r="F26" s="20" t="s">
        <v>16</v>
      </c>
      <c r="G26" s="11" t="s">
        <v>39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1" t="s">
        <v>89</v>
      </c>
      <c r="B27" s="18" t="s">
        <v>27</v>
      </c>
      <c r="C27" s="18" t="s">
        <v>41</v>
      </c>
      <c r="D27" s="19" t="s">
        <v>90</v>
      </c>
      <c r="E27" s="19" t="s">
        <v>54</v>
      </c>
      <c r="F27" s="20" t="s">
        <v>16</v>
      </c>
      <c r="G27" s="11" t="s">
        <v>25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1" t="s">
        <v>44</v>
      </c>
      <c r="B28" s="18" t="s">
        <v>27</v>
      </c>
      <c r="C28" s="18" t="s">
        <v>37</v>
      </c>
      <c r="D28" s="19" t="s">
        <v>44</v>
      </c>
      <c r="E28" s="19" t="s">
        <v>54</v>
      </c>
      <c r="F28" s="20" t="s">
        <v>16</v>
      </c>
      <c r="G28" s="11" t="s">
        <v>45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1" t="s">
        <v>46</v>
      </c>
      <c r="B29" s="18" t="s">
        <v>47</v>
      </c>
      <c r="C29" s="18" t="s">
        <v>48</v>
      </c>
      <c r="D29" s="19" t="s">
        <v>49</v>
      </c>
      <c r="E29" s="19" t="s">
        <v>54</v>
      </c>
      <c r="F29" s="20" t="s">
        <v>16</v>
      </c>
      <c r="G29" s="11" t="s">
        <v>91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</sheetData>
  <mergeCells count="2">
    <mergeCell ref="A1:E4"/>
    <mergeCell ref="F1:G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34.38"/>
    <col customWidth="1" min="6" max="6" width="20.38"/>
    <col customWidth="1" min="7" max="7" width="26.75"/>
  </cols>
  <sheetData>
    <row r="1">
      <c r="A1" s="13" t="s">
        <v>92</v>
      </c>
      <c r="F1" s="14" t="s">
        <v>52</v>
      </c>
      <c r="H1" s="15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H2" s="15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6"/>
      <c r="B5" s="16"/>
      <c r="C5" s="16"/>
      <c r="D5" s="16"/>
      <c r="E5" s="16"/>
      <c r="F5" s="17" t="s">
        <v>2</v>
      </c>
      <c r="G5" s="15" t="s">
        <v>3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1" t="s">
        <v>93</v>
      </c>
      <c r="B8" s="18" t="s">
        <v>12</v>
      </c>
      <c r="C8" s="18" t="s">
        <v>13</v>
      </c>
      <c r="D8" s="19" t="s">
        <v>53</v>
      </c>
      <c r="E8" s="19" t="s">
        <v>94</v>
      </c>
      <c r="F8" s="20" t="s">
        <v>16</v>
      </c>
      <c r="G8" s="24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21" t="s">
        <v>55</v>
      </c>
      <c r="B9" s="22" t="s">
        <v>56</v>
      </c>
      <c r="C9" s="22" t="s">
        <v>56</v>
      </c>
      <c r="D9" s="22" t="s">
        <v>56</v>
      </c>
      <c r="E9" s="22" t="s">
        <v>56</v>
      </c>
      <c r="F9" s="22" t="s">
        <v>56</v>
      </c>
      <c r="G9" s="22" t="s">
        <v>56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1" t="s">
        <v>67</v>
      </c>
      <c r="B10" s="18" t="s">
        <v>12</v>
      </c>
      <c r="C10" s="18" t="s">
        <v>13</v>
      </c>
      <c r="D10" s="19" t="s">
        <v>68</v>
      </c>
      <c r="E10" s="19" t="s">
        <v>94</v>
      </c>
      <c r="F10" s="20" t="s">
        <v>16</v>
      </c>
      <c r="G10" s="24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21" t="s">
        <v>70</v>
      </c>
      <c r="B11" s="22" t="s">
        <v>56</v>
      </c>
      <c r="C11" s="22" t="s">
        <v>56</v>
      </c>
      <c r="D11" s="22" t="s">
        <v>56</v>
      </c>
      <c r="E11" s="22" t="s">
        <v>56</v>
      </c>
      <c r="F11" s="22" t="s">
        <v>56</v>
      </c>
      <c r="G11" s="22" t="s">
        <v>56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1" t="s">
        <v>71</v>
      </c>
      <c r="B12" s="18" t="s">
        <v>12</v>
      </c>
      <c r="C12" s="18" t="s">
        <v>13</v>
      </c>
      <c r="D12" s="19" t="s">
        <v>72</v>
      </c>
      <c r="E12" s="19" t="s">
        <v>94</v>
      </c>
      <c r="F12" s="20" t="s">
        <v>16</v>
      </c>
      <c r="G12" s="24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1" t="s">
        <v>95</v>
      </c>
      <c r="B13" s="18" t="s">
        <v>12</v>
      </c>
      <c r="C13" s="18" t="s">
        <v>13</v>
      </c>
      <c r="D13" s="19" t="s">
        <v>96</v>
      </c>
      <c r="E13" s="19" t="s">
        <v>94</v>
      </c>
      <c r="F13" s="20" t="s">
        <v>16</v>
      </c>
      <c r="G13" s="24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1" t="s">
        <v>97</v>
      </c>
      <c r="B14" s="18" t="s">
        <v>22</v>
      </c>
      <c r="C14" s="18" t="s">
        <v>98</v>
      </c>
      <c r="D14" s="19" t="s">
        <v>99</v>
      </c>
      <c r="E14" s="19" t="s">
        <v>94</v>
      </c>
      <c r="F14" s="20" t="s">
        <v>16</v>
      </c>
      <c r="G14" s="11" t="s">
        <v>25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1" t="s">
        <v>100</v>
      </c>
      <c r="B15" s="18" t="s">
        <v>22</v>
      </c>
      <c r="C15" s="18" t="s">
        <v>98</v>
      </c>
      <c r="D15" s="19" t="s">
        <v>101</v>
      </c>
      <c r="E15" s="19" t="s">
        <v>94</v>
      </c>
      <c r="F15" s="20" t="s">
        <v>16</v>
      </c>
      <c r="G15" s="11" t="s">
        <v>25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1" t="s">
        <v>102</v>
      </c>
      <c r="B16" s="18" t="s">
        <v>22</v>
      </c>
      <c r="C16" s="18" t="s">
        <v>23</v>
      </c>
      <c r="D16" s="19" t="s">
        <v>24</v>
      </c>
      <c r="E16" s="19" t="s">
        <v>94</v>
      </c>
      <c r="F16" s="20" t="s">
        <v>16</v>
      </c>
      <c r="G16" s="11" t="s">
        <v>25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1" t="s">
        <v>103</v>
      </c>
      <c r="B17" s="18" t="s">
        <v>22</v>
      </c>
      <c r="C17" s="18" t="s">
        <v>98</v>
      </c>
      <c r="D17" s="19" t="s">
        <v>104</v>
      </c>
      <c r="E17" s="19" t="s">
        <v>94</v>
      </c>
      <c r="F17" s="20" t="s">
        <v>16</v>
      </c>
      <c r="G17" s="11" t="s">
        <v>25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1" t="s">
        <v>105</v>
      </c>
      <c r="B18" s="18" t="s">
        <v>22</v>
      </c>
      <c r="C18" s="18" t="s">
        <v>98</v>
      </c>
      <c r="D18" s="19" t="s">
        <v>106</v>
      </c>
      <c r="E18" s="19" t="s">
        <v>94</v>
      </c>
      <c r="F18" s="20" t="s">
        <v>16</v>
      </c>
      <c r="G18" s="11" t="s">
        <v>25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1" t="s">
        <v>107</v>
      </c>
      <c r="B19" s="18" t="s">
        <v>22</v>
      </c>
      <c r="C19" s="18" t="s">
        <v>23</v>
      </c>
      <c r="D19" s="19" t="s">
        <v>108</v>
      </c>
      <c r="E19" s="19" t="s">
        <v>94</v>
      </c>
      <c r="F19" s="20" t="s">
        <v>16</v>
      </c>
      <c r="G19" s="11" t="s">
        <v>25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1" t="s">
        <v>81</v>
      </c>
      <c r="B20" s="18" t="s">
        <v>22</v>
      </c>
      <c r="C20" s="18" t="s">
        <v>82</v>
      </c>
      <c r="D20" s="19" t="s">
        <v>83</v>
      </c>
      <c r="E20" s="19" t="s">
        <v>94</v>
      </c>
      <c r="F20" s="20" t="s">
        <v>16</v>
      </c>
      <c r="G20" s="11" t="s">
        <v>25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1" t="s">
        <v>30</v>
      </c>
      <c r="B21" s="18" t="s">
        <v>31</v>
      </c>
      <c r="C21" s="18" t="s">
        <v>32</v>
      </c>
      <c r="D21" s="19" t="s">
        <v>84</v>
      </c>
      <c r="E21" s="19" t="s">
        <v>94</v>
      </c>
      <c r="F21" s="20" t="s">
        <v>16</v>
      </c>
      <c r="G21" s="11" t="s">
        <v>25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1" t="s">
        <v>85</v>
      </c>
      <c r="B22" s="18" t="s">
        <v>31</v>
      </c>
      <c r="C22" s="18" t="s">
        <v>32</v>
      </c>
      <c r="D22" s="19" t="s">
        <v>86</v>
      </c>
      <c r="E22" s="19" t="s">
        <v>94</v>
      </c>
      <c r="F22" s="20" t="s">
        <v>16</v>
      </c>
      <c r="G22" s="11" t="s">
        <v>25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1" t="s">
        <v>87</v>
      </c>
      <c r="B23" s="18" t="s">
        <v>12</v>
      </c>
      <c r="C23" s="18" t="s">
        <v>13</v>
      </c>
      <c r="D23" s="19" t="s">
        <v>88</v>
      </c>
      <c r="E23" s="19" t="s">
        <v>94</v>
      </c>
      <c r="F23" s="20" t="s">
        <v>16</v>
      </c>
      <c r="G23" s="11" t="s">
        <v>39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1" t="s">
        <v>89</v>
      </c>
      <c r="B24" s="18" t="s">
        <v>27</v>
      </c>
      <c r="C24" s="18" t="s">
        <v>109</v>
      </c>
      <c r="D24" s="19" t="s">
        <v>90</v>
      </c>
      <c r="E24" s="19" t="s">
        <v>94</v>
      </c>
      <c r="F24" s="20" t="s">
        <v>16</v>
      </c>
      <c r="G24" s="11" t="s">
        <v>25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1" t="s">
        <v>80</v>
      </c>
      <c r="B25" s="18" t="s">
        <v>12</v>
      </c>
      <c r="C25" s="18" t="s">
        <v>37</v>
      </c>
      <c r="D25" s="19" t="s">
        <v>43</v>
      </c>
      <c r="E25" s="19" t="s">
        <v>94</v>
      </c>
      <c r="F25" s="20" t="s">
        <v>16</v>
      </c>
      <c r="G25" s="11" t="s">
        <v>17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1" t="s">
        <v>79</v>
      </c>
      <c r="B26" s="18" t="s">
        <v>27</v>
      </c>
      <c r="C26" s="18" t="s">
        <v>28</v>
      </c>
      <c r="D26" s="19" t="s">
        <v>29</v>
      </c>
      <c r="E26" s="19" t="s">
        <v>94</v>
      </c>
      <c r="F26" s="20" t="s">
        <v>16</v>
      </c>
      <c r="G26" s="11" t="s">
        <v>25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1" t="s">
        <v>110</v>
      </c>
      <c r="B27" s="18" t="s">
        <v>48</v>
      </c>
      <c r="C27" s="18" t="s">
        <v>48</v>
      </c>
      <c r="D27" s="19" t="s">
        <v>110</v>
      </c>
      <c r="E27" s="19" t="s">
        <v>94</v>
      </c>
      <c r="F27" s="20" t="s">
        <v>16</v>
      </c>
      <c r="G27" s="11" t="s">
        <v>25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1" t="s">
        <v>44</v>
      </c>
      <c r="B28" s="18" t="s">
        <v>27</v>
      </c>
      <c r="C28" s="18" t="s">
        <v>37</v>
      </c>
      <c r="D28" s="19" t="s">
        <v>44</v>
      </c>
      <c r="E28" s="19" t="s">
        <v>94</v>
      </c>
      <c r="F28" s="20" t="s">
        <v>16</v>
      </c>
      <c r="G28" s="11" t="s">
        <v>45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1" t="s">
        <v>46</v>
      </c>
      <c r="B29" s="18" t="s">
        <v>47</v>
      </c>
      <c r="C29" s="18" t="s">
        <v>48</v>
      </c>
      <c r="D29" s="19" t="s">
        <v>49</v>
      </c>
      <c r="E29" s="19" t="s">
        <v>94</v>
      </c>
      <c r="F29" s="20" t="s">
        <v>16</v>
      </c>
      <c r="G29" s="11" t="s">
        <v>91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</sheetData>
  <mergeCells count="2">
    <mergeCell ref="A1:E4"/>
    <mergeCell ref="F1:G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43.38"/>
    <col customWidth="1" min="6" max="6" width="20.38"/>
    <col customWidth="1" min="7" max="7" width="31.38"/>
  </cols>
  <sheetData>
    <row r="1">
      <c r="A1" s="13" t="s">
        <v>111</v>
      </c>
      <c r="F1" s="14" t="s">
        <v>52</v>
      </c>
      <c r="H1" s="15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H2" s="15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6"/>
      <c r="B5" s="16"/>
      <c r="C5" s="16"/>
      <c r="D5" s="16"/>
      <c r="E5" s="16"/>
      <c r="F5" s="17" t="s">
        <v>2</v>
      </c>
      <c r="G5" s="15" t="s">
        <v>3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1" t="s">
        <v>55</v>
      </c>
      <c r="B8" s="18" t="s">
        <v>12</v>
      </c>
      <c r="C8" s="18" t="s">
        <v>13</v>
      </c>
      <c r="D8" s="19" t="s">
        <v>112</v>
      </c>
      <c r="E8" s="19" t="s">
        <v>113</v>
      </c>
      <c r="F8" s="20" t="s">
        <v>16</v>
      </c>
      <c r="G8" s="11" t="s">
        <v>114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1" t="s">
        <v>67</v>
      </c>
      <c r="B9" s="18" t="s">
        <v>12</v>
      </c>
      <c r="C9" s="18" t="s">
        <v>13</v>
      </c>
      <c r="D9" s="19" t="s">
        <v>68</v>
      </c>
      <c r="E9" s="19" t="s">
        <v>113</v>
      </c>
      <c r="F9" s="20" t="s">
        <v>16</v>
      </c>
      <c r="G9" s="11" t="s">
        <v>115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21" t="s">
        <v>70</v>
      </c>
      <c r="B10" s="21" t="s">
        <v>56</v>
      </c>
      <c r="C10" s="21" t="s">
        <v>56</v>
      </c>
      <c r="D10" s="22" t="s">
        <v>56</v>
      </c>
      <c r="E10" s="22" t="s">
        <v>56</v>
      </c>
      <c r="F10" s="21" t="s">
        <v>56</v>
      </c>
      <c r="G10" s="21" t="s">
        <v>56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1" t="s">
        <v>21</v>
      </c>
      <c r="B11" s="18" t="s">
        <v>22</v>
      </c>
      <c r="C11" s="18" t="s">
        <v>23</v>
      </c>
      <c r="D11" s="19" t="s">
        <v>24</v>
      </c>
      <c r="E11" s="19" t="s">
        <v>113</v>
      </c>
      <c r="F11" s="20" t="s">
        <v>16</v>
      </c>
      <c r="G11" s="11" t="s">
        <v>25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1" t="s">
        <v>30</v>
      </c>
      <c r="B12" s="18" t="s">
        <v>31</v>
      </c>
      <c r="C12" s="18" t="s">
        <v>32</v>
      </c>
      <c r="D12" s="19" t="s">
        <v>84</v>
      </c>
      <c r="E12" s="19" t="s">
        <v>113</v>
      </c>
      <c r="F12" s="20" t="s">
        <v>16</v>
      </c>
      <c r="G12" s="11" t="s">
        <v>25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1" t="s">
        <v>85</v>
      </c>
      <c r="B13" s="18" t="s">
        <v>31</v>
      </c>
      <c r="C13" s="18" t="s">
        <v>32</v>
      </c>
      <c r="D13" s="19" t="s">
        <v>86</v>
      </c>
      <c r="E13" s="19" t="s">
        <v>113</v>
      </c>
      <c r="F13" s="20" t="s">
        <v>16</v>
      </c>
      <c r="G13" s="11" t="s">
        <v>25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1" t="s">
        <v>87</v>
      </c>
      <c r="B14" s="18" t="s">
        <v>12</v>
      </c>
      <c r="C14" s="18" t="s">
        <v>13</v>
      </c>
      <c r="D14" s="19" t="s">
        <v>88</v>
      </c>
      <c r="E14" s="19" t="s">
        <v>113</v>
      </c>
      <c r="F14" s="20" t="s">
        <v>16</v>
      </c>
      <c r="G14" s="11" t="s">
        <v>39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1" t="s">
        <v>89</v>
      </c>
      <c r="B15" s="18" t="s">
        <v>27</v>
      </c>
      <c r="C15" s="18" t="s">
        <v>41</v>
      </c>
      <c r="D15" s="19" t="s">
        <v>90</v>
      </c>
      <c r="E15" s="19" t="s">
        <v>113</v>
      </c>
      <c r="F15" s="20" t="s">
        <v>16</v>
      </c>
      <c r="G15" s="11" t="s">
        <v>25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1" t="s">
        <v>80</v>
      </c>
      <c r="B16" s="18" t="s">
        <v>12</v>
      </c>
      <c r="C16" s="18" t="s">
        <v>37</v>
      </c>
      <c r="D16" s="19" t="s">
        <v>43</v>
      </c>
      <c r="E16" s="19" t="s">
        <v>113</v>
      </c>
      <c r="F16" s="20" t="s">
        <v>16</v>
      </c>
      <c r="G16" s="11" t="s">
        <v>17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1" t="s">
        <v>79</v>
      </c>
      <c r="B17" s="18" t="s">
        <v>27</v>
      </c>
      <c r="C17" s="18" t="s">
        <v>28</v>
      </c>
      <c r="D17" s="19" t="s">
        <v>29</v>
      </c>
      <c r="E17" s="19" t="s">
        <v>113</v>
      </c>
      <c r="F17" s="20" t="s">
        <v>16</v>
      </c>
      <c r="G17" s="11" t="s">
        <v>25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1" t="s">
        <v>44</v>
      </c>
      <c r="B18" s="18" t="s">
        <v>27</v>
      </c>
      <c r="C18" s="18" t="s">
        <v>37</v>
      </c>
      <c r="D18" s="19" t="s">
        <v>44</v>
      </c>
      <c r="E18" s="19" t="s">
        <v>113</v>
      </c>
      <c r="F18" s="20" t="s">
        <v>16</v>
      </c>
      <c r="G18" s="11" t="s">
        <v>45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1" t="s">
        <v>46</v>
      </c>
      <c r="B19" s="18" t="s">
        <v>47</v>
      </c>
      <c r="C19" s="18" t="s">
        <v>48</v>
      </c>
      <c r="D19" s="19" t="s">
        <v>49</v>
      </c>
      <c r="E19" s="19" t="s">
        <v>113</v>
      </c>
      <c r="F19" s="20" t="s">
        <v>16</v>
      </c>
      <c r="G19" s="11" t="s">
        <v>91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</sheetData>
  <mergeCells count="2">
    <mergeCell ref="A1:E4"/>
    <mergeCell ref="F1:G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22.13"/>
    <col customWidth="1" min="6" max="6" width="20.38"/>
    <col customWidth="1" min="7" max="7" width="37.25"/>
  </cols>
  <sheetData>
    <row r="1">
      <c r="A1" s="13" t="s">
        <v>116</v>
      </c>
      <c r="F1" s="14" t="s">
        <v>117</v>
      </c>
      <c r="H1" s="25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>
      <c r="A5" s="26"/>
      <c r="B5" s="26"/>
      <c r="C5" s="26"/>
      <c r="D5" s="26"/>
      <c r="E5" s="26"/>
      <c r="F5" s="14" t="s">
        <v>2</v>
      </c>
      <c r="G5" s="25" t="s">
        <v>3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27" t="s">
        <v>118</v>
      </c>
      <c r="B8" s="28" t="s">
        <v>12</v>
      </c>
      <c r="C8" s="28" t="s">
        <v>37</v>
      </c>
      <c r="D8" s="12" t="s">
        <v>53</v>
      </c>
      <c r="E8" s="12" t="s">
        <v>119</v>
      </c>
      <c r="F8" s="29" t="s">
        <v>16</v>
      </c>
      <c r="G8" s="27" t="s">
        <v>17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27" t="s">
        <v>120</v>
      </c>
      <c r="B9" s="28" t="s">
        <v>12</v>
      </c>
      <c r="C9" s="28" t="s">
        <v>37</v>
      </c>
      <c r="D9" s="12" t="s">
        <v>121</v>
      </c>
      <c r="E9" s="12" t="s">
        <v>119</v>
      </c>
      <c r="F9" s="29" t="s">
        <v>16</v>
      </c>
      <c r="G9" s="30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27" t="s">
        <v>122</v>
      </c>
      <c r="B10" s="28" t="s">
        <v>12</v>
      </c>
      <c r="C10" s="28" t="s">
        <v>37</v>
      </c>
      <c r="D10" s="12" t="s">
        <v>58</v>
      </c>
      <c r="E10" s="12" t="s">
        <v>119</v>
      </c>
      <c r="F10" s="29" t="s">
        <v>16</v>
      </c>
      <c r="G10" s="27" t="s">
        <v>59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27" t="s">
        <v>21</v>
      </c>
      <c r="B11" s="28" t="s">
        <v>22</v>
      </c>
      <c r="C11" s="28" t="s">
        <v>23</v>
      </c>
      <c r="D11" s="12" t="s">
        <v>24</v>
      </c>
      <c r="E11" s="12" t="s">
        <v>119</v>
      </c>
      <c r="F11" s="29" t="s">
        <v>16</v>
      </c>
      <c r="G11" s="27" t="s">
        <v>25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27" t="s">
        <v>30</v>
      </c>
      <c r="B12" s="28" t="s">
        <v>31</v>
      </c>
      <c r="C12" s="28" t="s">
        <v>32</v>
      </c>
      <c r="D12" s="12" t="s">
        <v>84</v>
      </c>
      <c r="E12" s="12" t="s">
        <v>119</v>
      </c>
      <c r="F12" s="29" t="s">
        <v>16</v>
      </c>
      <c r="G12" s="27" t="s">
        <v>25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27" t="s">
        <v>85</v>
      </c>
      <c r="B13" s="28" t="s">
        <v>31</v>
      </c>
      <c r="C13" s="28" t="s">
        <v>32</v>
      </c>
      <c r="D13" s="12" t="s">
        <v>86</v>
      </c>
      <c r="E13" s="12" t="s">
        <v>119</v>
      </c>
      <c r="F13" s="29" t="s">
        <v>16</v>
      </c>
      <c r="G13" s="27" t="s">
        <v>25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27" t="s">
        <v>55</v>
      </c>
      <c r="B14" s="28" t="s">
        <v>12</v>
      </c>
      <c r="C14" s="28" t="s">
        <v>13</v>
      </c>
      <c r="D14" s="12" t="s">
        <v>112</v>
      </c>
      <c r="E14" s="12" t="s">
        <v>119</v>
      </c>
      <c r="F14" s="29" t="s">
        <v>16</v>
      </c>
      <c r="G14" s="27" t="s">
        <v>123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27" t="s">
        <v>87</v>
      </c>
      <c r="B15" s="28" t="s">
        <v>12</v>
      </c>
      <c r="C15" s="28" t="s">
        <v>13</v>
      </c>
      <c r="D15" s="12" t="s">
        <v>88</v>
      </c>
      <c r="E15" s="12" t="s">
        <v>119</v>
      </c>
      <c r="F15" s="29" t="s">
        <v>16</v>
      </c>
      <c r="G15" s="30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27" t="s">
        <v>124</v>
      </c>
      <c r="B16" s="28" t="s">
        <v>12</v>
      </c>
      <c r="C16" s="28" t="s">
        <v>37</v>
      </c>
      <c r="D16" s="12" t="s">
        <v>72</v>
      </c>
      <c r="E16" s="12" t="s">
        <v>119</v>
      </c>
      <c r="F16" s="29" t="s">
        <v>16</v>
      </c>
      <c r="G16" s="27" t="s">
        <v>17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27" t="s">
        <v>75</v>
      </c>
      <c r="B17" s="28" t="s">
        <v>12</v>
      </c>
      <c r="C17" s="28" t="s">
        <v>37</v>
      </c>
      <c r="D17" s="12" t="s">
        <v>76</v>
      </c>
      <c r="E17" s="12" t="s">
        <v>119</v>
      </c>
      <c r="F17" s="29" t="s">
        <v>16</v>
      </c>
      <c r="G17" s="27" t="s">
        <v>17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27" t="s">
        <v>80</v>
      </c>
      <c r="B18" s="28" t="s">
        <v>12</v>
      </c>
      <c r="C18" s="28" t="s">
        <v>37</v>
      </c>
      <c r="D18" s="12" t="s">
        <v>43</v>
      </c>
      <c r="E18" s="12" t="s">
        <v>119</v>
      </c>
      <c r="F18" s="29" t="s">
        <v>16</v>
      </c>
      <c r="G18" s="27" t="s">
        <v>17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27" t="s">
        <v>79</v>
      </c>
      <c r="B19" s="28" t="s">
        <v>27</v>
      </c>
      <c r="C19" s="28" t="s">
        <v>28</v>
      </c>
      <c r="D19" s="12" t="s">
        <v>29</v>
      </c>
      <c r="E19" s="12" t="s">
        <v>119</v>
      </c>
      <c r="F19" s="29" t="s">
        <v>16</v>
      </c>
      <c r="G19" s="27" t="s">
        <v>25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>
      <c r="A20" s="27" t="s">
        <v>125</v>
      </c>
      <c r="B20" s="28" t="s">
        <v>12</v>
      </c>
      <c r="C20" s="28" t="s">
        <v>37</v>
      </c>
      <c r="D20" s="12" t="s">
        <v>126</v>
      </c>
      <c r="E20" s="12" t="s">
        <v>119</v>
      </c>
      <c r="F20" s="29" t="s">
        <v>16</v>
      </c>
      <c r="G20" s="27" t="s">
        <v>17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>
      <c r="A21" s="27" t="s">
        <v>127</v>
      </c>
      <c r="B21" s="28" t="s">
        <v>27</v>
      </c>
      <c r="C21" s="28" t="s">
        <v>128</v>
      </c>
      <c r="D21" s="12" t="s">
        <v>129</v>
      </c>
      <c r="E21" s="12" t="s">
        <v>119</v>
      </c>
      <c r="F21" s="29" t="s">
        <v>16</v>
      </c>
      <c r="G21" s="27" t="s">
        <v>25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>
      <c r="A22" s="27" t="s">
        <v>130</v>
      </c>
      <c r="B22" s="28" t="s">
        <v>27</v>
      </c>
      <c r="C22" s="28" t="s">
        <v>128</v>
      </c>
      <c r="D22" s="12" t="s">
        <v>131</v>
      </c>
      <c r="E22" s="12" t="s">
        <v>119</v>
      </c>
      <c r="F22" s="29" t="s">
        <v>16</v>
      </c>
      <c r="G22" s="27" t="s">
        <v>25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27" t="s">
        <v>40</v>
      </c>
      <c r="B23" s="28" t="s">
        <v>27</v>
      </c>
      <c r="C23" s="28" t="s">
        <v>41</v>
      </c>
      <c r="D23" s="12" t="s">
        <v>90</v>
      </c>
      <c r="E23" s="12" t="s">
        <v>119</v>
      </c>
      <c r="F23" s="29" t="s">
        <v>16</v>
      </c>
      <c r="G23" s="27" t="s">
        <v>25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27" t="s">
        <v>44</v>
      </c>
      <c r="B24" s="28" t="s">
        <v>27</v>
      </c>
      <c r="C24" s="28" t="s">
        <v>37</v>
      </c>
      <c r="D24" s="12" t="s">
        <v>44</v>
      </c>
      <c r="E24" s="12" t="s">
        <v>119</v>
      </c>
      <c r="F24" s="29" t="s">
        <v>16</v>
      </c>
      <c r="G24" s="27" t="s">
        <v>45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27" t="s">
        <v>46</v>
      </c>
      <c r="B25" s="28" t="s">
        <v>47</v>
      </c>
      <c r="C25" s="28" t="s">
        <v>48</v>
      </c>
      <c r="D25" s="12" t="s">
        <v>132</v>
      </c>
      <c r="E25" s="12" t="s">
        <v>119</v>
      </c>
      <c r="F25" s="29" t="s">
        <v>16</v>
      </c>
      <c r="G25" s="27" t="s">
        <v>133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</sheetData>
  <mergeCells count="2">
    <mergeCell ref="A1:E4"/>
    <mergeCell ref="F1:G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3" width="18.13"/>
    <col customWidth="1" min="4" max="4" width="22.88"/>
    <col customWidth="1" min="5" max="5" width="34.25"/>
    <col customWidth="1" min="6" max="6" width="20.38"/>
    <col customWidth="1" min="7" max="7" width="26.75"/>
  </cols>
  <sheetData>
    <row r="1">
      <c r="A1" s="13" t="s">
        <v>134</v>
      </c>
      <c r="F1" s="14" t="s">
        <v>117</v>
      </c>
      <c r="H1" s="25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>
      <c r="H2" s="25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>
      <c r="A5" s="26"/>
      <c r="B5" s="26"/>
      <c r="C5" s="26"/>
      <c r="D5" s="26"/>
      <c r="E5" s="26"/>
      <c r="F5" s="14" t="s">
        <v>2</v>
      </c>
      <c r="G5" s="25" t="s">
        <v>3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6" t="s">
        <v>9</v>
      </c>
      <c r="G7" s="5" t="s">
        <v>10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27" t="s">
        <v>118</v>
      </c>
      <c r="B8" s="28" t="str">
        <f>VLOOKUP(A8, 'EST CONTEDOR-CARGA SUELTA'!$A$7:$G$24, 2, FALSE)</f>
        <v>Tipo Lista</v>
      </c>
      <c r="C8" s="28" t="s">
        <v>37</v>
      </c>
      <c r="D8" s="12" t="s">
        <v>53</v>
      </c>
      <c r="E8" s="12" t="s">
        <v>135</v>
      </c>
      <c r="F8" s="29" t="s">
        <v>16</v>
      </c>
      <c r="G8" s="27" t="s">
        <v>17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27" t="s">
        <v>120</v>
      </c>
      <c r="B9" s="28" t="str">
        <f>VLOOKUP(A9, 'EST CONTEDOR-CARGA SUELTA'!$A$7:$G$24, 2, FALSE)</f>
        <v>Tipo Lista</v>
      </c>
      <c r="C9" s="28" t="s">
        <v>37</v>
      </c>
      <c r="D9" s="12" t="s">
        <v>121</v>
      </c>
      <c r="E9" s="12" t="s">
        <v>135</v>
      </c>
      <c r="F9" s="29" t="s">
        <v>16</v>
      </c>
      <c r="G9" s="30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27" t="s">
        <v>122</v>
      </c>
      <c r="B10" s="28" t="str">
        <f>VLOOKUP(A10, 'EST CONTEDOR-CARGA SUELTA'!$A$7:$G$24, 2, FALSE)</f>
        <v>Tipo Lista</v>
      </c>
      <c r="C10" s="28" t="s">
        <v>37</v>
      </c>
      <c r="D10" s="12" t="s">
        <v>58</v>
      </c>
      <c r="E10" s="12" t="s">
        <v>135</v>
      </c>
      <c r="F10" s="29" t="s">
        <v>16</v>
      </c>
      <c r="G10" s="27" t="s">
        <v>59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27" t="s">
        <v>21</v>
      </c>
      <c r="B11" s="28" t="str">
        <f>VLOOKUP(A11, 'EST CONTEDOR-CARGA SUELTA'!$A$7:$G$24, 2, FALSE)</f>
        <v>numérico</v>
      </c>
      <c r="C11" s="28" t="s">
        <v>23</v>
      </c>
      <c r="D11" s="12" t="s">
        <v>24</v>
      </c>
      <c r="E11" s="12" t="s">
        <v>135</v>
      </c>
      <c r="F11" s="29" t="s">
        <v>16</v>
      </c>
      <c r="G11" s="30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27" t="s">
        <v>30</v>
      </c>
      <c r="B12" s="28" t="str">
        <f>VLOOKUP(A12, 'EST CONTEDOR-CARGA SUELTA'!$A$7:$G$24, 2, FALSE)</f>
        <v>fecha</v>
      </c>
      <c r="C12" s="28" t="s">
        <v>32</v>
      </c>
      <c r="D12" s="12" t="s">
        <v>84</v>
      </c>
      <c r="E12" s="12" t="s">
        <v>135</v>
      </c>
      <c r="F12" s="29" t="s">
        <v>16</v>
      </c>
      <c r="G12" s="30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27" t="s">
        <v>85</v>
      </c>
      <c r="B13" s="28" t="str">
        <f>VLOOKUP(A13, 'EST CONTEDOR-CARGA SUELTA'!$A$7:$G$24, 2, FALSE)</f>
        <v>fecha</v>
      </c>
      <c r="C13" s="28" t="s">
        <v>32</v>
      </c>
      <c r="D13" s="12" t="s">
        <v>86</v>
      </c>
      <c r="E13" s="12" t="s">
        <v>135</v>
      </c>
      <c r="F13" s="29" t="s">
        <v>16</v>
      </c>
      <c r="G13" s="30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27" t="s">
        <v>87</v>
      </c>
      <c r="B14" s="28" t="str">
        <f>VLOOKUP(A14, 'EST CONTEDOR-CARGA SUELTA'!$A$7:$G$24, 2, FALSE)</f>
        <v>Tipo Lista</v>
      </c>
      <c r="C14" s="28" t="s">
        <v>37</v>
      </c>
      <c r="D14" s="12" t="s">
        <v>88</v>
      </c>
      <c r="E14" s="12" t="s">
        <v>135</v>
      </c>
      <c r="F14" s="29" t="s">
        <v>16</v>
      </c>
      <c r="G14" s="30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27" t="s">
        <v>55</v>
      </c>
      <c r="B15" s="28" t="str">
        <f>VLOOKUP(A15, 'EST CONTEDOR-CARGA SUELTA'!$A$7:$G$24, 2, FALSE)</f>
        <v>Tipo Lista</v>
      </c>
      <c r="C15" s="28" t="s">
        <v>37</v>
      </c>
      <c r="D15" s="12" t="s">
        <v>76</v>
      </c>
      <c r="E15" s="12" t="s">
        <v>135</v>
      </c>
      <c r="F15" s="29" t="s">
        <v>16</v>
      </c>
      <c r="G15" s="27" t="s">
        <v>17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27" t="s">
        <v>124</v>
      </c>
      <c r="B16" s="28" t="str">
        <f>VLOOKUP(A16, 'EST CONTEDOR-CARGA SUELTA'!$A$7:$G$24, 2, FALSE)</f>
        <v>Tipo Lista</v>
      </c>
      <c r="C16" s="28" t="s">
        <v>37</v>
      </c>
      <c r="D16" s="12" t="s">
        <v>72</v>
      </c>
      <c r="E16" s="12" t="s">
        <v>135</v>
      </c>
      <c r="F16" s="29" t="s">
        <v>16</v>
      </c>
      <c r="G16" s="27" t="s">
        <v>17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27" t="s">
        <v>127</v>
      </c>
      <c r="B17" s="28" t="str">
        <f>VLOOKUP(A17, 'EST CONTEDOR-CARGA SUELTA'!$A$7:$G$24, 2, FALSE)</f>
        <v>texto</v>
      </c>
      <c r="C17" s="28" t="s">
        <v>128</v>
      </c>
      <c r="D17" s="12" t="s">
        <v>129</v>
      </c>
      <c r="E17" s="12" t="s">
        <v>135</v>
      </c>
      <c r="F17" s="29" t="s">
        <v>16</v>
      </c>
      <c r="G17" s="30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27" t="s">
        <v>130</v>
      </c>
      <c r="B18" s="28" t="str">
        <f>VLOOKUP(A18, 'EST CONTEDOR-CARGA SUELTA'!$A$7:$G$24, 2, FALSE)</f>
        <v>texto</v>
      </c>
      <c r="C18" s="28" t="s">
        <v>128</v>
      </c>
      <c r="D18" s="12" t="s">
        <v>131</v>
      </c>
      <c r="E18" s="12" t="s">
        <v>135</v>
      </c>
      <c r="F18" s="29" t="s">
        <v>16</v>
      </c>
      <c r="G18" s="30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27" t="s">
        <v>80</v>
      </c>
      <c r="B19" s="28" t="str">
        <f>VLOOKUP(A19, 'EST CONTEDOR-CARGA SUELTA'!$A$7:$G$24, 2, FALSE)</f>
        <v>Tipo Lista</v>
      </c>
      <c r="C19" s="28" t="s">
        <v>37</v>
      </c>
      <c r="D19" s="12" t="s">
        <v>43</v>
      </c>
      <c r="E19" s="12" t="s">
        <v>135</v>
      </c>
      <c r="F19" s="29" t="s">
        <v>16</v>
      </c>
      <c r="G19" s="27" t="s">
        <v>17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>
      <c r="A20" s="27" t="s">
        <v>79</v>
      </c>
      <c r="B20" s="28" t="str">
        <f>VLOOKUP(A20, 'EST CONTEDOR-CARGA SUELTA'!$A$7:$G$24, 2, FALSE)</f>
        <v>texto</v>
      </c>
      <c r="C20" s="28" t="s">
        <v>28</v>
      </c>
      <c r="D20" s="12" t="s">
        <v>29</v>
      </c>
      <c r="E20" s="12" t="s">
        <v>135</v>
      </c>
      <c r="F20" s="29" t="s">
        <v>16</v>
      </c>
      <c r="G20" s="30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>
      <c r="A21" s="27" t="s">
        <v>125</v>
      </c>
      <c r="B21" s="28" t="str">
        <f>VLOOKUP(A21, 'EST CONTEDOR-CARGA SUELTA'!$A$7:$G$24, 2, FALSE)</f>
        <v>Tipo Lista</v>
      </c>
      <c r="C21" s="28" t="s">
        <v>37</v>
      </c>
      <c r="D21" s="12" t="s">
        <v>126</v>
      </c>
      <c r="E21" s="12" t="s">
        <v>135</v>
      </c>
      <c r="F21" s="29" t="s">
        <v>16</v>
      </c>
      <c r="G21" s="27" t="s">
        <v>17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>
      <c r="A22" s="27" t="s">
        <v>40</v>
      </c>
      <c r="B22" s="28" t="str">
        <f>VLOOKUP(A22, 'EST CONTEDOR-CARGA SUELTA'!$A$7:$G$24, 2, FALSE)</f>
        <v>texto</v>
      </c>
      <c r="C22" s="28" t="s">
        <v>136</v>
      </c>
      <c r="D22" s="12" t="s">
        <v>90</v>
      </c>
      <c r="E22" s="12" t="s">
        <v>135</v>
      </c>
      <c r="F22" s="29" t="s">
        <v>16</v>
      </c>
      <c r="G22" s="30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27" t="s">
        <v>44</v>
      </c>
      <c r="B23" s="28" t="str">
        <f>VLOOKUP(A23, 'EST CONTEDOR-CARGA SUELTA'!$A$7:$G$24, 2, FALSE)</f>
        <v>texto</v>
      </c>
      <c r="C23" s="28" t="s">
        <v>37</v>
      </c>
      <c r="D23" s="12" t="s">
        <v>44</v>
      </c>
      <c r="E23" s="12" t="s">
        <v>135</v>
      </c>
      <c r="F23" s="29" t="s">
        <v>16</v>
      </c>
      <c r="G23" s="27" t="s">
        <v>45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27" t="s">
        <v>46</v>
      </c>
      <c r="B24" s="28" t="s">
        <v>47</v>
      </c>
      <c r="C24" s="28" t="s">
        <v>48</v>
      </c>
      <c r="D24" s="12" t="s">
        <v>132</v>
      </c>
      <c r="E24" s="12" t="s">
        <v>135</v>
      </c>
      <c r="F24" s="29" t="s">
        <v>16</v>
      </c>
      <c r="G24" s="27" t="s">
        <v>133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3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</sheetData>
  <mergeCells count="2">
    <mergeCell ref="A1:E4"/>
    <mergeCell ref="F1:G4"/>
  </mergeCells>
  <drawing r:id="rId1"/>
</worksheet>
</file>