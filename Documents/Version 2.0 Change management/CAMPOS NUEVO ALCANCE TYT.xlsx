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proyectos CRA\T&amp;T SAP\2da Etapa\"/>
    </mc:Choice>
  </mc:AlternateContent>
  <xr:revisionPtr revIDLastSave="0" documentId="13_ncr:1_{2D30028A-D02E-49E7-9923-A8980F91DA16}" xr6:coauthVersionLast="47" xr6:coauthVersionMax="47" xr10:uidLastSave="{00000000-0000-0000-0000-000000000000}"/>
  <bookViews>
    <workbookView xWindow="7275" yWindow="2235" windowWidth="12855" windowHeight="7725" activeTab="1" xr2:uid="{00000000-000D-0000-FFFF-FFFF00000000}"/>
  </bookViews>
  <sheets>
    <sheet name="TyT" sheetId="1" r:id="rId1"/>
    <sheet name="detalle cronograma" sheetId="6" r:id="rId2"/>
    <sheet name="estimado tiempos" sheetId="5" r:id="rId3"/>
    <sheet name="CTT" sheetId="2" r:id="rId4"/>
    <sheet name="EST" sheetId="3" r:id="rId5"/>
    <sheet name="TOLEPU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" l="1"/>
  <c r="B18" i="5" s="1"/>
</calcChain>
</file>

<file path=xl/sharedStrings.xml><?xml version="1.0" encoding="utf-8"?>
<sst xmlns="http://schemas.openxmlformats.org/spreadsheetml/2006/main" count="472" uniqueCount="89">
  <si>
    <t>Campos a integrar</t>
  </si>
  <si>
    <t>Existe en CRM</t>
  </si>
  <si>
    <t>Fichero CRM</t>
  </si>
  <si>
    <t>Nombre del campo en CRM</t>
  </si>
  <si>
    <t>Funcionalidad en CRM</t>
  </si>
  <si>
    <t>Tipo de Campo</t>
  </si>
  <si>
    <t>Tipo de dato</t>
  </si>
  <si>
    <t>Nomenclatura en BD</t>
  </si>
  <si>
    <t>TABLA BD</t>
  </si>
  <si>
    <t>¿A QUE BD REPLICA DOBRA O SAP?</t>
  </si>
  <si>
    <t>¿CAMPO OBLIGATORIO?</t>
  </si>
  <si>
    <t>Nombre del campo Homologacion</t>
  </si>
  <si>
    <t>Consideración (validación)</t>
  </si>
  <si>
    <t>Sexo</t>
  </si>
  <si>
    <t>si</t>
  </si>
  <si>
    <t>cliente</t>
  </si>
  <si>
    <t>Envio de correo eletronico</t>
  </si>
  <si>
    <t>lista</t>
  </si>
  <si>
    <t>dobra y sap</t>
  </si>
  <si>
    <t>Estado Civil</t>
  </si>
  <si>
    <t>integrar a SAP</t>
  </si>
  <si>
    <t>dobra</t>
  </si>
  <si>
    <t>Origen de ingresos</t>
  </si>
  <si>
    <t>no</t>
  </si>
  <si>
    <t>sap</t>
  </si>
  <si>
    <t>Tipo Financiero</t>
  </si>
  <si>
    <t>País</t>
  </si>
  <si>
    <t>Territorio</t>
  </si>
  <si>
    <t>Asesor Comercial</t>
  </si>
  <si>
    <t>Tipo de identificación</t>
  </si>
  <si>
    <t>contactos</t>
  </si>
  <si>
    <t>integrar a Dobra en el modulo contactos</t>
  </si>
  <si>
    <t>check contacto Firmante DAV</t>
  </si>
  <si>
    <t>check de pago garantizado</t>
  </si>
  <si>
    <t>cliente (solo Torres)</t>
  </si>
  <si>
    <t>integrar a Dobra en el fichero de clientes en la pestaña representantes</t>
  </si>
  <si>
    <t>check en CRM (dobra es una opción de una lista)</t>
  </si>
  <si>
    <t>DOBRA</t>
  </si>
  <si>
    <t>Al seleccionar el check debe replicar a DOBRA en la pestaña con la opción correspondiente.</t>
  </si>
  <si>
    <t>campos de Vigencia desde</t>
  </si>
  <si>
    <t>registro de fecha</t>
  </si>
  <si>
    <t>Al marcar el check, se debe activar para llenar la vigencia de esta información</t>
  </si>
  <si>
    <t>campos de Vigencia hasta</t>
  </si>
  <si>
    <t>número de CDA</t>
  </si>
  <si>
    <t>campo de texto</t>
  </si>
  <si>
    <t>Al marcar el check, se debe activar para llenar el código CDA</t>
  </si>
  <si>
    <t>check autorizado para envio electronico</t>
  </si>
  <si>
    <t xml:space="preserve">Integrar a Dobra </t>
  </si>
  <si>
    <t>check</t>
  </si>
  <si>
    <t>Debe replicar al registrar el check desde CRM debe replicar a autorizado para envío electrónico.</t>
  </si>
  <si>
    <t>Tipo de notificación</t>
  </si>
  <si>
    <t xml:space="preserve">integrar a Dobra en el fichero de clientes en la pestaña contactos &amp; mail </t>
  </si>
  <si>
    <t xml:space="preserve">Debe replicar a DOBRA </t>
  </si>
  <si>
    <t>Nombre del contacto</t>
  </si>
  <si>
    <t>texto</t>
  </si>
  <si>
    <t>Email</t>
  </si>
  <si>
    <t>Actividad</t>
  </si>
  <si>
    <t>tiempo (hrs)</t>
  </si>
  <si>
    <t>Comentario</t>
  </si>
  <si>
    <t>Revision de campos, documentacion, posibles escenarios</t>
  </si>
  <si>
    <t>considerar asignacion a este proyecto de maximo 4 horas por dia</t>
  </si>
  <si>
    <t>Desarrollo para inclusion de nuevos campos</t>
  </si>
  <si>
    <t>Puede ser necesarias mas cantidad de horas dependiendo de hallazgos no considerados en fase de costeo</t>
  </si>
  <si>
    <t>Pruebas unitarias</t>
  </si>
  <si>
    <t>Pruebas integracion</t>
  </si>
  <si>
    <t>desde CRM</t>
  </si>
  <si>
    <t>desde IIS</t>
  </si>
  <si>
    <t>Pruebas funcionales</t>
  </si>
  <si>
    <t>con usuario</t>
  </si>
  <si>
    <t>Ajustes y mejoras</t>
  </si>
  <si>
    <t>variable dependiendo de las necesidades</t>
  </si>
  <si>
    <t>Inclusion de modulo de configuracion general</t>
  </si>
  <si>
    <t>Usado para incluir validaciones realizadas actualmente por el Mildware</t>
  </si>
  <si>
    <t>Control de cambios solicitado por TyT</t>
  </si>
  <si>
    <t>Eliminar dependencia de Mildware</t>
  </si>
  <si>
    <t>Total horas</t>
  </si>
  <si>
    <t>Total dias</t>
  </si>
  <si>
    <t>desarrollo (Ajustes al API)</t>
  </si>
  <si>
    <t>Integrar 6 campos SAP TyT</t>
  </si>
  <si>
    <t>Integrar 11 campos Dobra TyT</t>
  </si>
  <si>
    <t>Integrar 6 campos SAP CTT</t>
  </si>
  <si>
    <t>Integrar 6 campos Dobra CTT</t>
  </si>
  <si>
    <t>Integrar 6 campos SAP EST</t>
  </si>
  <si>
    <t>Integrar 6 campos Dobra EST</t>
  </si>
  <si>
    <t>Integrar 6 campos SAP TOLEPU</t>
  </si>
  <si>
    <t>Integrar 6 campos Dobra TOLEPU</t>
  </si>
  <si>
    <t>Documentacion y puesta en produccion</t>
  </si>
  <si>
    <t>Ajustes posteriores a pruebas</t>
  </si>
  <si>
    <t>Integrar campo en CIA Tarifas (Carga Suelta)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</si>
</sst>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&quot;Arial MT&quot;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8" fillId="0" borderId="1" xfId="0" applyFont="1" applyBorder="1"/>
    <xf numFmtId="0" fontId="8" fillId="0" borderId="3" xfId="0" applyFont="1" applyBorder="1"/>
    <xf numFmtId="0" fontId="1" fillId="0" borderId="3" xfId="0" applyFont="1" applyBorder="1"/>
    <xf numFmtId="0" fontId="9" fillId="0" borderId="1" xfId="0" applyFont="1" applyBorder="1"/>
    <xf numFmtId="0" fontId="1" fillId="0" borderId="1" xfId="0" applyFont="1" applyBorder="1" applyAlignment="1">
      <alignment wrapText="1"/>
    </xf>
    <xf numFmtId="0" fontId="10" fillId="0" borderId="1" xfId="0" applyFont="1" applyBorder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ACD16-4FCB-4CFB-8FE3-D1DC5BC243FF}" name="Table1" displayName="Table1" ref="A2:C8" totalsRowShown="0" headerRowDxfId="7">
  <autoFilter ref="A2:C8" xr:uid="{281ACD16-4FCB-4CFB-8FE3-D1DC5BC243FF}"/>
  <tableColumns count="3">
    <tableColumn id="1" xr3:uid="{D88524D0-3949-4DD2-A5CC-D4FB8CF85A8F}" name="Actividad" dataDxfId="6"/>
    <tableColumn id="2" xr3:uid="{A2094654-E5FA-4E94-BFC5-E91A12085CA8}" name="tiempo (hrs)" dataDxfId="5"/>
    <tableColumn id="3" xr3:uid="{4940DA35-F676-4F66-9C50-D6CDF976D341}" name="Comentario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959CB4-F2D1-43EB-BC9F-F756745B2C1A}" name="Table2" displayName="Table2" ref="A11:C15" totalsRowShown="0" headerRowDxfId="3">
  <autoFilter ref="A11:C15" xr:uid="{A4959CB4-F2D1-43EB-BC9F-F756745B2C1A}"/>
  <tableColumns count="3">
    <tableColumn id="1" xr3:uid="{8514D035-76E5-4075-BA93-B0B29962C2E0}" name="Actividad" dataDxfId="2"/>
    <tableColumn id="2" xr3:uid="{5A8F4303-D721-439B-81F8-0878728FA579}" name="tiempo (hrs)" dataDxfId="1"/>
    <tableColumn id="3" xr3:uid="{ECBDA656-8FE8-4113-9943-C465113EF533}" name="Comentari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M24"/>
  <sheetViews>
    <sheetView workbookViewId="0">
      <selection activeCell="E16" sqref="E16"/>
    </sheetView>
  </sheetViews>
  <sheetFormatPr defaultColWidth="12.5703125" defaultRowHeight="15.75" customHeight="1"/>
  <cols>
    <col min="1" max="1" width="25.42578125" customWidth="1"/>
    <col min="2" max="2" width="14.85546875" customWidth="1"/>
    <col min="3" max="3" width="19.85546875" customWidth="1"/>
    <col min="4" max="4" width="25.42578125" customWidth="1"/>
    <col min="5" max="5" width="54.5703125" customWidth="1"/>
    <col min="6" max="6" width="37.57031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86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8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/>
      <c r="I7" s="8"/>
      <c r="J7" s="8" t="s">
        <v>18</v>
      </c>
      <c r="K7" s="8" t="s">
        <v>14</v>
      </c>
      <c r="L7" s="8"/>
      <c r="M7" s="8"/>
    </row>
    <row r="8" spans="1:13" ht="15.75" customHeight="1">
      <c r="A8" s="9" t="s">
        <v>19</v>
      </c>
      <c r="B8" s="8" t="s">
        <v>14</v>
      </c>
      <c r="C8" s="8" t="s">
        <v>15</v>
      </c>
      <c r="D8" s="8"/>
      <c r="E8" s="8" t="s">
        <v>20</v>
      </c>
      <c r="F8" s="8" t="s">
        <v>17</v>
      </c>
      <c r="G8" s="8"/>
      <c r="H8" s="8"/>
      <c r="I8" s="8"/>
      <c r="J8" s="8" t="s">
        <v>21</v>
      </c>
      <c r="K8" s="8" t="s">
        <v>14</v>
      </c>
      <c r="L8" s="8"/>
      <c r="M8" s="8"/>
    </row>
    <row r="9" spans="1:13" ht="15.75" customHeight="1">
      <c r="A9" s="10" t="s">
        <v>22</v>
      </c>
      <c r="B9" s="11" t="s">
        <v>23</v>
      </c>
      <c r="C9" s="11" t="s">
        <v>15</v>
      </c>
      <c r="D9" s="8"/>
      <c r="E9" s="8" t="s">
        <v>20</v>
      </c>
      <c r="F9" s="8" t="s">
        <v>17</v>
      </c>
      <c r="G9" s="8"/>
      <c r="H9" s="8"/>
      <c r="I9" s="8"/>
      <c r="J9" s="8" t="s">
        <v>24</v>
      </c>
      <c r="K9" s="8" t="s">
        <v>23</v>
      </c>
      <c r="L9" s="8"/>
      <c r="M9" s="8"/>
    </row>
    <row r="10" spans="1:13" ht="15.75" customHeight="1">
      <c r="A10" s="10" t="s">
        <v>25</v>
      </c>
      <c r="B10" s="11" t="s">
        <v>23</v>
      </c>
      <c r="C10" s="11" t="s">
        <v>15</v>
      </c>
      <c r="D10" s="8"/>
      <c r="E10" s="8" t="s">
        <v>20</v>
      </c>
      <c r="F10" s="8" t="s">
        <v>17</v>
      </c>
      <c r="G10" s="8"/>
      <c r="H10" s="8"/>
      <c r="I10" s="8"/>
      <c r="J10" s="8"/>
      <c r="K10" s="8" t="s">
        <v>23</v>
      </c>
      <c r="L10" s="8"/>
      <c r="M10" s="8"/>
    </row>
    <row r="11" spans="1:13" ht="15.75" customHeight="1">
      <c r="A11" s="10" t="s">
        <v>26</v>
      </c>
      <c r="B11" s="11" t="s">
        <v>23</v>
      </c>
      <c r="C11" s="11" t="s">
        <v>15</v>
      </c>
      <c r="D11" s="8"/>
      <c r="E11" s="8" t="s">
        <v>20</v>
      </c>
      <c r="F11" s="8" t="s">
        <v>17</v>
      </c>
      <c r="G11" s="8"/>
      <c r="H11" s="8"/>
      <c r="I11" s="8"/>
      <c r="J11" s="8"/>
      <c r="K11" s="8" t="s">
        <v>23</v>
      </c>
      <c r="L11" s="8"/>
      <c r="M11" s="8"/>
    </row>
    <row r="12" spans="1:13" ht="15.75" customHeight="1">
      <c r="A12" s="10" t="s">
        <v>27</v>
      </c>
      <c r="B12" s="11" t="s">
        <v>23</v>
      </c>
      <c r="C12" s="11" t="s">
        <v>15</v>
      </c>
      <c r="D12" s="8"/>
      <c r="E12" s="8" t="s">
        <v>20</v>
      </c>
      <c r="F12" s="8" t="s">
        <v>17</v>
      </c>
      <c r="G12" s="8"/>
      <c r="H12" s="8"/>
      <c r="I12" s="8"/>
      <c r="J12" s="8"/>
      <c r="K12" s="8" t="s">
        <v>23</v>
      </c>
      <c r="L12" s="8"/>
      <c r="M12" s="8"/>
    </row>
    <row r="13" spans="1:13" ht="12.75">
      <c r="A13" s="8" t="s">
        <v>28</v>
      </c>
      <c r="B13" s="11" t="s">
        <v>23</v>
      </c>
      <c r="C13" s="11" t="s">
        <v>15</v>
      </c>
      <c r="D13" s="8"/>
      <c r="E13" s="8" t="s">
        <v>20</v>
      </c>
      <c r="F13" s="8" t="s">
        <v>17</v>
      </c>
      <c r="G13" s="8"/>
      <c r="H13" s="8"/>
      <c r="I13" s="8"/>
      <c r="J13" s="8"/>
      <c r="K13" s="8" t="s">
        <v>23</v>
      </c>
      <c r="L13" s="8"/>
      <c r="M13" s="8"/>
    </row>
    <row r="14" spans="1:13" ht="12.75">
      <c r="A14" s="12" t="s">
        <v>29</v>
      </c>
      <c r="B14" s="8" t="s">
        <v>23</v>
      </c>
      <c r="C14" s="8" t="s">
        <v>30</v>
      </c>
      <c r="D14" s="8"/>
      <c r="E14" s="13" t="s">
        <v>31</v>
      </c>
      <c r="F14" s="8" t="s">
        <v>17</v>
      </c>
      <c r="G14" s="8"/>
      <c r="H14" s="8"/>
      <c r="I14" s="8"/>
      <c r="J14" s="8"/>
      <c r="K14" s="8" t="s">
        <v>14</v>
      </c>
      <c r="L14" s="8"/>
      <c r="M14" s="8"/>
    </row>
    <row r="15" spans="1:13" ht="12.75">
      <c r="A15" s="8" t="s">
        <v>32</v>
      </c>
      <c r="B15" s="8" t="s">
        <v>23</v>
      </c>
      <c r="C15" s="8" t="s">
        <v>30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2.75">
      <c r="A16" s="14" t="s">
        <v>33</v>
      </c>
      <c r="B16" s="8" t="s">
        <v>23</v>
      </c>
      <c r="C16" s="8" t="s">
        <v>34</v>
      </c>
      <c r="D16" s="8"/>
      <c r="E16" s="8" t="s">
        <v>35</v>
      </c>
      <c r="F16" s="8" t="s">
        <v>36</v>
      </c>
      <c r="G16" s="8"/>
      <c r="H16" s="8"/>
      <c r="I16" s="8"/>
      <c r="J16" s="8" t="s">
        <v>37</v>
      </c>
      <c r="K16" s="8" t="s">
        <v>14</v>
      </c>
      <c r="L16" s="8"/>
      <c r="M16" s="8" t="s">
        <v>38</v>
      </c>
    </row>
    <row r="17" spans="1:13" ht="12.75">
      <c r="A17" s="12" t="s">
        <v>39</v>
      </c>
      <c r="B17" s="8" t="s">
        <v>23</v>
      </c>
      <c r="C17" s="8" t="s">
        <v>34</v>
      </c>
      <c r="D17" s="8"/>
      <c r="E17" s="8" t="s">
        <v>35</v>
      </c>
      <c r="F17" s="8" t="s">
        <v>40</v>
      </c>
      <c r="G17" s="8"/>
      <c r="H17" s="8"/>
      <c r="I17" s="8"/>
      <c r="J17" s="8" t="s">
        <v>37</v>
      </c>
      <c r="K17" s="8" t="s">
        <v>14</v>
      </c>
      <c r="L17" s="8"/>
      <c r="M17" s="8" t="s">
        <v>41</v>
      </c>
    </row>
    <row r="18" spans="1:13" ht="12.75">
      <c r="A18" s="12" t="s">
        <v>42</v>
      </c>
      <c r="B18" s="8" t="s">
        <v>23</v>
      </c>
      <c r="C18" s="8" t="s">
        <v>34</v>
      </c>
      <c r="D18" s="8"/>
      <c r="E18" s="8" t="s">
        <v>35</v>
      </c>
      <c r="F18" s="8" t="s">
        <v>40</v>
      </c>
      <c r="G18" s="8"/>
      <c r="H18" s="8"/>
      <c r="I18" s="8"/>
      <c r="J18" s="8" t="s">
        <v>37</v>
      </c>
      <c r="K18" s="8" t="s">
        <v>14</v>
      </c>
      <c r="L18" s="8"/>
      <c r="M18" s="8" t="s">
        <v>41</v>
      </c>
    </row>
    <row r="19" spans="1:13" ht="12.75">
      <c r="A19" s="14" t="s">
        <v>43</v>
      </c>
      <c r="B19" s="8" t="s">
        <v>23</v>
      </c>
      <c r="C19" s="8" t="s">
        <v>34</v>
      </c>
      <c r="D19" s="8"/>
      <c r="E19" s="8" t="s">
        <v>35</v>
      </c>
      <c r="F19" s="8" t="s">
        <v>44</v>
      </c>
      <c r="G19" s="8"/>
      <c r="H19" s="8"/>
      <c r="I19" s="8"/>
      <c r="J19" s="8" t="s">
        <v>37</v>
      </c>
      <c r="K19" s="8" t="s">
        <v>14</v>
      </c>
      <c r="L19" s="8"/>
      <c r="M19" s="8" t="s">
        <v>45</v>
      </c>
    </row>
    <row r="20" spans="1:13" ht="25.5">
      <c r="A20" s="13" t="s">
        <v>46</v>
      </c>
      <c r="B20" s="8" t="s">
        <v>14</v>
      </c>
      <c r="C20" s="8" t="s">
        <v>15</v>
      </c>
      <c r="D20" s="8"/>
      <c r="E20" s="8" t="s">
        <v>47</v>
      </c>
      <c r="F20" s="8" t="s">
        <v>48</v>
      </c>
      <c r="G20" s="8"/>
      <c r="H20" s="8"/>
      <c r="I20" s="8"/>
      <c r="J20" s="8" t="s">
        <v>37</v>
      </c>
      <c r="K20" s="8" t="s">
        <v>14</v>
      </c>
      <c r="L20" s="8"/>
      <c r="M20" s="8" t="s">
        <v>49</v>
      </c>
    </row>
    <row r="21" spans="1:13" ht="15">
      <c r="A21" s="9" t="s">
        <v>50</v>
      </c>
      <c r="B21" s="8" t="s">
        <v>14</v>
      </c>
      <c r="C21" s="8" t="s">
        <v>30</v>
      </c>
      <c r="D21" s="8"/>
      <c r="E21" s="8" t="s">
        <v>51</v>
      </c>
      <c r="F21" s="8" t="s">
        <v>17</v>
      </c>
      <c r="G21" s="8"/>
      <c r="H21" s="8"/>
      <c r="I21" s="8"/>
      <c r="J21" s="8" t="s">
        <v>37</v>
      </c>
      <c r="K21" s="8" t="s">
        <v>14</v>
      </c>
      <c r="L21" s="8"/>
      <c r="M21" s="8" t="s">
        <v>52</v>
      </c>
    </row>
    <row r="22" spans="1:13" ht="15">
      <c r="A22" s="10" t="s">
        <v>53</v>
      </c>
      <c r="B22" s="11" t="s">
        <v>14</v>
      </c>
      <c r="C22" s="8" t="s">
        <v>30</v>
      </c>
      <c r="D22" s="8"/>
      <c r="E22" s="8" t="s">
        <v>51</v>
      </c>
      <c r="F22" s="8" t="s">
        <v>54</v>
      </c>
      <c r="G22" s="8"/>
      <c r="H22" s="8"/>
      <c r="I22" s="8"/>
      <c r="J22" s="8" t="s">
        <v>37</v>
      </c>
      <c r="K22" s="8" t="s">
        <v>14</v>
      </c>
      <c r="L22" s="8"/>
      <c r="M22" s="8" t="s">
        <v>52</v>
      </c>
    </row>
    <row r="23" spans="1:13" ht="15">
      <c r="A23" s="10" t="s">
        <v>55</v>
      </c>
      <c r="B23" s="11" t="s">
        <v>14</v>
      </c>
      <c r="C23" s="8" t="s">
        <v>30</v>
      </c>
      <c r="D23" s="8"/>
      <c r="E23" s="8" t="s">
        <v>51</v>
      </c>
      <c r="F23" s="8" t="s">
        <v>54</v>
      </c>
      <c r="G23" s="8"/>
      <c r="H23" s="8"/>
      <c r="I23" s="8"/>
      <c r="J23" s="8" t="s">
        <v>37</v>
      </c>
      <c r="K23" s="8" t="s">
        <v>14</v>
      </c>
      <c r="L23" s="8"/>
      <c r="M23" s="8" t="s">
        <v>52</v>
      </c>
    </row>
    <row r="24" spans="1:13" ht="12.75">
      <c r="M24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8D52-D713-4D49-8438-5FCE6A3355DC}">
  <dimension ref="A3:C51"/>
  <sheetViews>
    <sheetView tabSelected="1" topLeftCell="A37" workbookViewId="0">
      <selection activeCell="A44" sqref="A44"/>
    </sheetView>
  </sheetViews>
  <sheetFormatPr defaultRowHeight="12.75"/>
  <cols>
    <col min="2" max="2" width="38.5703125" customWidth="1"/>
  </cols>
  <sheetData>
    <row r="3" spans="1:3">
      <c r="A3" t="s">
        <v>78</v>
      </c>
    </row>
    <row r="4" spans="1:3">
      <c r="B4" t="s">
        <v>77</v>
      </c>
      <c r="C4">
        <v>2</v>
      </c>
    </row>
    <row r="5" spans="1:3">
      <c r="B5" t="s">
        <v>63</v>
      </c>
      <c r="C5">
        <v>1</v>
      </c>
    </row>
    <row r="6" spans="1:3">
      <c r="B6" s="20" t="s">
        <v>64</v>
      </c>
      <c r="C6">
        <v>1</v>
      </c>
    </row>
    <row r="7" spans="1:3">
      <c r="B7" s="20" t="s">
        <v>67</v>
      </c>
      <c r="C7">
        <v>1</v>
      </c>
    </row>
    <row r="8" spans="1:3">
      <c r="A8" t="s">
        <v>79</v>
      </c>
    </row>
    <row r="9" spans="1:3">
      <c r="B9" t="s">
        <v>77</v>
      </c>
      <c r="C9">
        <v>2</v>
      </c>
    </row>
    <row r="10" spans="1:3">
      <c r="B10" t="s">
        <v>63</v>
      </c>
      <c r="C10">
        <v>1</v>
      </c>
    </row>
    <row r="11" spans="1:3">
      <c r="B11" s="20" t="s">
        <v>64</v>
      </c>
      <c r="C11">
        <v>1</v>
      </c>
    </row>
    <row r="12" spans="1:3">
      <c r="B12" s="20" t="s">
        <v>67</v>
      </c>
      <c r="C12">
        <v>1</v>
      </c>
    </row>
    <row r="13" spans="1:3">
      <c r="A13" t="s">
        <v>80</v>
      </c>
    </row>
    <row r="14" spans="1:3">
      <c r="B14" t="s">
        <v>77</v>
      </c>
      <c r="C14">
        <v>2</v>
      </c>
    </row>
    <row r="15" spans="1:3">
      <c r="B15" t="s">
        <v>63</v>
      </c>
      <c r="C15">
        <v>1</v>
      </c>
    </row>
    <row r="16" spans="1:3">
      <c r="B16" s="20" t="s">
        <v>64</v>
      </c>
      <c r="C16">
        <v>1</v>
      </c>
    </row>
    <row r="17" spans="1:3">
      <c r="B17" s="20" t="s">
        <v>67</v>
      </c>
      <c r="C17">
        <v>1</v>
      </c>
    </row>
    <row r="18" spans="1:3">
      <c r="A18" t="s">
        <v>81</v>
      </c>
    </row>
    <row r="19" spans="1:3">
      <c r="B19" t="s">
        <v>77</v>
      </c>
      <c r="C19">
        <v>2</v>
      </c>
    </row>
    <row r="20" spans="1:3">
      <c r="B20" t="s">
        <v>63</v>
      </c>
      <c r="C20">
        <v>1</v>
      </c>
    </row>
    <row r="21" spans="1:3">
      <c r="B21" s="20" t="s">
        <v>64</v>
      </c>
      <c r="C21">
        <v>1</v>
      </c>
    </row>
    <row r="22" spans="1:3">
      <c r="B22" s="20" t="s">
        <v>67</v>
      </c>
      <c r="C22">
        <v>1</v>
      </c>
    </row>
    <row r="23" spans="1:3">
      <c r="A23" t="s">
        <v>82</v>
      </c>
    </row>
    <row r="24" spans="1:3">
      <c r="B24" t="s">
        <v>77</v>
      </c>
      <c r="C24">
        <v>2</v>
      </c>
    </row>
    <row r="25" spans="1:3">
      <c r="B25" t="s">
        <v>63</v>
      </c>
      <c r="C25">
        <v>1</v>
      </c>
    </row>
    <row r="26" spans="1:3">
      <c r="B26" s="20" t="s">
        <v>64</v>
      </c>
      <c r="C26">
        <v>1</v>
      </c>
    </row>
    <row r="27" spans="1:3">
      <c r="B27" s="20" t="s">
        <v>67</v>
      </c>
      <c r="C27">
        <v>1</v>
      </c>
    </row>
    <row r="28" spans="1:3">
      <c r="A28" t="s">
        <v>83</v>
      </c>
    </row>
    <row r="29" spans="1:3">
      <c r="B29" t="s">
        <v>77</v>
      </c>
      <c r="C29">
        <v>2</v>
      </c>
    </row>
    <row r="30" spans="1:3">
      <c r="B30" t="s">
        <v>63</v>
      </c>
      <c r="C30">
        <v>1</v>
      </c>
    </row>
    <row r="31" spans="1:3">
      <c r="B31" s="20" t="s">
        <v>64</v>
      </c>
      <c r="C31">
        <v>1</v>
      </c>
    </row>
    <row r="32" spans="1:3">
      <c r="B32" s="20" t="s">
        <v>67</v>
      </c>
      <c r="C32">
        <v>1</v>
      </c>
    </row>
    <row r="33" spans="1:3">
      <c r="A33" t="s">
        <v>84</v>
      </c>
    </row>
    <row r="34" spans="1:3">
      <c r="B34" t="s">
        <v>77</v>
      </c>
      <c r="C34">
        <v>2</v>
      </c>
    </row>
    <row r="35" spans="1:3">
      <c r="B35" t="s">
        <v>63</v>
      </c>
      <c r="C35">
        <v>1</v>
      </c>
    </row>
    <row r="36" spans="1:3">
      <c r="B36" s="20" t="s">
        <v>64</v>
      </c>
      <c r="C36">
        <v>1</v>
      </c>
    </row>
    <row r="37" spans="1:3">
      <c r="B37" s="20" t="s">
        <v>67</v>
      </c>
      <c r="C37">
        <v>1</v>
      </c>
    </row>
    <row r="38" spans="1:3">
      <c r="A38" t="s">
        <v>85</v>
      </c>
    </row>
    <row r="39" spans="1:3">
      <c r="B39" t="s">
        <v>77</v>
      </c>
      <c r="C39">
        <v>2</v>
      </c>
    </row>
    <row r="40" spans="1:3">
      <c r="B40" t="s">
        <v>63</v>
      </c>
      <c r="C40">
        <v>1</v>
      </c>
    </row>
    <row r="41" spans="1:3">
      <c r="B41" s="20" t="s">
        <v>64</v>
      </c>
      <c r="C41">
        <v>1</v>
      </c>
    </row>
    <row r="42" spans="1:3">
      <c r="B42" s="20" t="s">
        <v>67</v>
      </c>
      <c r="C42">
        <v>1</v>
      </c>
    </row>
    <row r="44" spans="1:3">
      <c r="A44" s="15" t="s">
        <v>88</v>
      </c>
    </row>
    <row r="45" spans="1:3">
      <c r="B45" t="s">
        <v>77</v>
      </c>
      <c r="C45">
        <v>1</v>
      </c>
    </row>
    <row r="46" spans="1:3">
      <c r="B46" t="s">
        <v>63</v>
      </c>
      <c r="C46">
        <v>0.5</v>
      </c>
    </row>
    <row r="47" spans="1:3">
      <c r="B47" s="20" t="s">
        <v>64</v>
      </c>
      <c r="C47">
        <v>0.5</v>
      </c>
    </row>
    <row r="48" spans="1:3">
      <c r="B48" s="20" t="s">
        <v>67</v>
      </c>
      <c r="C48">
        <v>1</v>
      </c>
    </row>
    <row r="50" spans="1:3">
      <c r="A50" s="15" t="s">
        <v>87</v>
      </c>
      <c r="C50">
        <v>2</v>
      </c>
    </row>
    <row r="51" spans="1:3">
      <c r="A51" s="15" t="s">
        <v>86</v>
      </c>
      <c r="C5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78E7-9A06-4C3C-9FF7-C75AAC965B58}">
  <dimension ref="A1:C18"/>
  <sheetViews>
    <sheetView workbookViewId="0">
      <selection activeCell="C15" sqref="C15"/>
    </sheetView>
  </sheetViews>
  <sheetFormatPr defaultRowHeight="12.75"/>
  <cols>
    <col min="1" max="1" width="37.5703125" customWidth="1"/>
    <col min="2" max="2" width="13.85546875" customWidth="1"/>
    <col min="3" max="3" width="31.42578125" bestFit="1" customWidth="1"/>
  </cols>
  <sheetData>
    <row r="1" spans="1:3">
      <c r="A1" s="16" t="s">
        <v>73</v>
      </c>
    </row>
    <row r="2" spans="1:3" s="16" customFormat="1">
      <c r="A2" s="16" t="s">
        <v>56</v>
      </c>
      <c r="B2" s="16" t="s">
        <v>57</v>
      </c>
      <c r="C2" s="16" t="s">
        <v>58</v>
      </c>
    </row>
    <row r="3" spans="1:3" ht="38.25">
      <c r="A3" s="17" t="s">
        <v>59</v>
      </c>
      <c r="B3" s="17">
        <v>4</v>
      </c>
      <c r="C3" s="17" t="s">
        <v>62</v>
      </c>
    </row>
    <row r="4" spans="1:3" ht="25.5">
      <c r="A4" s="17" t="s">
        <v>61</v>
      </c>
      <c r="B4" s="18">
        <v>24</v>
      </c>
      <c r="C4" s="17" t="s">
        <v>60</v>
      </c>
    </row>
    <row r="5" spans="1:3">
      <c r="A5" s="17" t="s">
        <v>63</v>
      </c>
      <c r="B5" s="18">
        <v>4</v>
      </c>
      <c r="C5" s="17" t="s">
        <v>66</v>
      </c>
    </row>
    <row r="6" spans="1:3">
      <c r="A6" s="17" t="s">
        <v>64</v>
      </c>
      <c r="B6" s="18">
        <v>4</v>
      </c>
      <c r="C6" s="17" t="s">
        <v>65</v>
      </c>
    </row>
    <row r="7" spans="1:3">
      <c r="A7" s="17" t="s">
        <v>67</v>
      </c>
      <c r="B7" s="18">
        <v>6</v>
      </c>
      <c r="C7" s="17" t="s">
        <v>68</v>
      </c>
    </row>
    <row r="8" spans="1:3" ht="25.5">
      <c r="A8" s="17" t="s">
        <v>69</v>
      </c>
      <c r="B8" s="18">
        <v>5</v>
      </c>
      <c r="C8" s="17" t="s">
        <v>70</v>
      </c>
    </row>
    <row r="9" spans="1:3">
      <c r="A9" s="17"/>
      <c r="B9" s="18"/>
      <c r="C9" s="17"/>
    </row>
    <row r="10" spans="1:3">
      <c r="A10" s="19" t="s">
        <v>74</v>
      </c>
      <c r="B10" s="18"/>
      <c r="C10" s="18"/>
    </row>
    <row r="11" spans="1:3">
      <c r="A11" s="19" t="s">
        <v>56</v>
      </c>
      <c r="B11" s="19" t="s">
        <v>57</v>
      </c>
      <c r="C11" s="19" t="s">
        <v>58</v>
      </c>
    </row>
    <row r="12" spans="1:3" ht="38.25">
      <c r="A12" s="17" t="s">
        <v>71</v>
      </c>
      <c r="B12" s="18">
        <v>16</v>
      </c>
      <c r="C12" s="17" t="s">
        <v>72</v>
      </c>
    </row>
    <row r="13" spans="1:3">
      <c r="A13" s="17" t="s">
        <v>63</v>
      </c>
      <c r="B13" s="18">
        <v>4</v>
      </c>
      <c r="C13" s="18"/>
    </row>
    <row r="14" spans="1:3">
      <c r="A14" s="17" t="s">
        <v>67</v>
      </c>
      <c r="B14" s="18">
        <v>4</v>
      </c>
      <c r="C14" s="18"/>
    </row>
    <row r="15" spans="1:3" ht="14.25" customHeight="1">
      <c r="A15" s="17" t="s">
        <v>69</v>
      </c>
      <c r="B15" s="18">
        <v>4</v>
      </c>
      <c r="C15" s="18"/>
    </row>
    <row r="16" spans="1:3" ht="14.25" customHeight="1">
      <c r="A16" s="15"/>
    </row>
    <row r="17" spans="1:2">
      <c r="A17" s="16" t="s">
        <v>75</v>
      </c>
      <c r="B17" s="16">
        <f>SUM(B12:B15,B3:B8)</f>
        <v>75</v>
      </c>
    </row>
    <row r="18" spans="1:2">
      <c r="A18" s="16" t="s">
        <v>76</v>
      </c>
      <c r="B18" s="16">
        <f>B17/4</f>
        <v>18.75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:M23"/>
  <sheetViews>
    <sheetView workbookViewId="0"/>
  </sheetViews>
  <sheetFormatPr defaultColWidth="12.5703125" defaultRowHeight="15.75" customHeight="1"/>
  <cols>
    <col min="1" max="1" width="25.42578125" customWidth="1"/>
    <col min="2" max="2" width="14.85546875" customWidth="1"/>
    <col min="3" max="3" width="19.85546875" customWidth="1"/>
    <col min="4" max="4" width="25.42578125" customWidth="1"/>
    <col min="5" max="6" width="23.1406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38.85546875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8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/>
      <c r="I7" s="8"/>
      <c r="J7" s="8" t="s">
        <v>18</v>
      </c>
      <c r="K7" s="8" t="s">
        <v>14</v>
      </c>
      <c r="L7" s="8"/>
      <c r="M7" s="8"/>
    </row>
    <row r="8" spans="1:13" ht="15.75" customHeight="1">
      <c r="A8" s="9" t="s">
        <v>19</v>
      </c>
      <c r="B8" s="8" t="s">
        <v>14</v>
      </c>
      <c r="C8" s="8" t="s">
        <v>15</v>
      </c>
      <c r="D8" s="8"/>
      <c r="E8" s="8" t="s">
        <v>20</v>
      </c>
      <c r="F8" s="8" t="s">
        <v>17</v>
      </c>
      <c r="G8" s="8"/>
      <c r="H8" s="8"/>
      <c r="I8" s="8"/>
      <c r="J8" s="8" t="s">
        <v>21</v>
      </c>
      <c r="K8" s="8" t="s">
        <v>14</v>
      </c>
      <c r="L8" s="8"/>
      <c r="M8" s="8"/>
    </row>
    <row r="9" spans="1:13" ht="15.75" customHeight="1">
      <c r="A9" s="10" t="s">
        <v>22</v>
      </c>
      <c r="B9" s="11" t="s">
        <v>23</v>
      </c>
      <c r="C9" s="11" t="s">
        <v>15</v>
      </c>
      <c r="D9" s="8"/>
      <c r="E9" s="8" t="s">
        <v>20</v>
      </c>
      <c r="F9" s="8" t="s">
        <v>17</v>
      </c>
      <c r="G9" s="8"/>
      <c r="H9" s="8"/>
      <c r="I9" s="8"/>
      <c r="J9" s="8" t="s">
        <v>24</v>
      </c>
      <c r="K9" s="8" t="s">
        <v>23</v>
      </c>
      <c r="L9" s="8"/>
      <c r="M9" s="8"/>
    </row>
    <row r="10" spans="1:13" ht="15.75" customHeight="1">
      <c r="A10" s="10" t="s">
        <v>25</v>
      </c>
      <c r="B10" s="11" t="s">
        <v>23</v>
      </c>
      <c r="C10" s="11" t="s">
        <v>15</v>
      </c>
      <c r="D10" s="8"/>
      <c r="E10" s="8" t="s">
        <v>20</v>
      </c>
      <c r="F10" s="8" t="s">
        <v>17</v>
      </c>
      <c r="G10" s="8"/>
      <c r="H10" s="8"/>
      <c r="I10" s="8"/>
      <c r="J10" s="8"/>
      <c r="K10" s="8" t="s">
        <v>23</v>
      </c>
      <c r="L10" s="8"/>
      <c r="M10" s="8"/>
    </row>
    <row r="11" spans="1:13" ht="15.75" customHeight="1">
      <c r="A11" s="10" t="s">
        <v>26</v>
      </c>
      <c r="B11" s="11" t="s">
        <v>23</v>
      </c>
      <c r="C11" s="11" t="s">
        <v>15</v>
      </c>
      <c r="D11" s="8"/>
      <c r="E11" s="8" t="s">
        <v>20</v>
      </c>
      <c r="F11" s="8" t="s">
        <v>17</v>
      </c>
      <c r="G11" s="8"/>
      <c r="H11" s="8"/>
      <c r="I11" s="8"/>
      <c r="J11" s="8"/>
      <c r="K11" s="8" t="s">
        <v>23</v>
      </c>
      <c r="L11" s="8"/>
      <c r="M11" s="8"/>
    </row>
    <row r="12" spans="1:13" ht="15.75" customHeight="1">
      <c r="A12" s="10" t="s">
        <v>27</v>
      </c>
      <c r="B12" s="11" t="s">
        <v>23</v>
      </c>
      <c r="C12" s="11" t="s">
        <v>15</v>
      </c>
      <c r="D12" s="8"/>
      <c r="E12" s="8" t="s">
        <v>20</v>
      </c>
      <c r="F12" s="8" t="s">
        <v>17</v>
      </c>
      <c r="G12" s="8"/>
      <c r="H12" s="8"/>
      <c r="I12" s="8"/>
      <c r="J12" s="8"/>
      <c r="K12" s="8" t="s">
        <v>23</v>
      </c>
      <c r="L12" s="8"/>
      <c r="M12" s="8"/>
    </row>
    <row r="13" spans="1:13" ht="12.75">
      <c r="A13" s="8" t="s">
        <v>28</v>
      </c>
      <c r="B13" s="11" t="s">
        <v>23</v>
      </c>
      <c r="C13" s="11" t="s">
        <v>15</v>
      </c>
      <c r="D13" s="8"/>
      <c r="E13" s="8" t="s">
        <v>20</v>
      </c>
      <c r="F13" s="8" t="s">
        <v>17</v>
      </c>
      <c r="G13" s="8"/>
      <c r="H13" s="8"/>
      <c r="I13" s="8"/>
      <c r="J13" s="8"/>
      <c r="K13" s="8" t="s">
        <v>23</v>
      </c>
      <c r="L13" s="8"/>
      <c r="M13" s="8"/>
    </row>
    <row r="14" spans="1:13" ht="12.75">
      <c r="A14" s="12" t="s">
        <v>29</v>
      </c>
      <c r="B14" s="8"/>
      <c r="C14" s="8"/>
      <c r="D14" s="8"/>
      <c r="E14" s="13"/>
      <c r="F14" s="8"/>
      <c r="G14" s="8"/>
      <c r="H14" s="8"/>
      <c r="I14" s="8"/>
      <c r="J14" s="8"/>
      <c r="K14" s="8"/>
      <c r="L14" s="8"/>
      <c r="M14" s="8"/>
    </row>
    <row r="15" spans="1:13" ht="12.75">
      <c r="A15" s="8" t="s">
        <v>32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2.75">
      <c r="A16" s="14" t="s">
        <v>33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2.75">
      <c r="A17" s="12" t="s">
        <v>39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2.75">
      <c r="A18" s="12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2.75">
      <c r="A19" s="14" t="s">
        <v>43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5.5">
      <c r="A20" s="13" t="s">
        <v>46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5">
      <c r="A21" s="9" t="s">
        <v>50</v>
      </c>
      <c r="B21" s="8" t="s">
        <v>14</v>
      </c>
      <c r="C21" s="8" t="s">
        <v>30</v>
      </c>
      <c r="D21" s="8"/>
      <c r="E21" s="8" t="s">
        <v>51</v>
      </c>
      <c r="F21" s="8" t="s">
        <v>17</v>
      </c>
      <c r="G21" s="8"/>
      <c r="H21" s="8"/>
      <c r="I21" s="8"/>
      <c r="J21" s="8" t="s">
        <v>37</v>
      </c>
      <c r="K21" s="8" t="s">
        <v>14</v>
      </c>
      <c r="L21" s="8"/>
      <c r="M21" s="8" t="s">
        <v>52</v>
      </c>
    </row>
    <row r="22" spans="1:13" ht="15">
      <c r="A22" s="10" t="s">
        <v>53</v>
      </c>
      <c r="B22" s="11" t="s">
        <v>14</v>
      </c>
      <c r="C22" s="8" t="s">
        <v>30</v>
      </c>
      <c r="D22" s="8"/>
      <c r="E22" s="8" t="s">
        <v>51</v>
      </c>
      <c r="F22" s="8" t="s">
        <v>54</v>
      </c>
      <c r="G22" s="8"/>
      <c r="H22" s="8"/>
      <c r="I22" s="8"/>
      <c r="J22" s="8" t="s">
        <v>37</v>
      </c>
      <c r="K22" s="8" t="s">
        <v>14</v>
      </c>
      <c r="L22" s="8"/>
      <c r="M22" s="8" t="s">
        <v>52</v>
      </c>
    </row>
    <row r="23" spans="1:13" ht="15">
      <c r="A23" s="10" t="s">
        <v>55</v>
      </c>
      <c r="B23" s="11" t="s">
        <v>14</v>
      </c>
      <c r="C23" s="8" t="s">
        <v>30</v>
      </c>
      <c r="D23" s="8"/>
      <c r="E23" s="8" t="s">
        <v>51</v>
      </c>
      <c r="F23" s="8" t="s">
        <v>54</v>
      </c>
      <c r="G23" s="8"/>
      <c r="H23" s="8"/>
      <c r="I23" s="8"/>
      <c r="J23" s="8" t="s">
        <v>37</v>
      </c>
      <c r="K23" s="8" t="s">
        <v>14</v>
      </c>
      <c r="L23" s="8"/>
      <c r="M23" s="8" t="s">
        <v>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M23"/>
  <sheetViews>
    <sheetView workbookViewId="0"/>
  </sheetViews>
  <sheetFormatPr defaultColWidth="12.5703125" defaultRowHeight="15.75" customHeight="1"/>
  <cols>
    <col min="1" max="1" width="25.42578125" customWidth="1"/>
    <col min="2" max="2" width="14.85546875" customWidth="1"/>
    <col min="3" max="3" width="19.85546875" customWidth="1"/>
    <col min="4" max="4" width="25.42578125" customWidth="1"/>
    <col min="5" max="6" width="23.1406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38.85546875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8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/>
      <c r="I7" s="8"/>
      <c r="J7" s="8" t="s">
        <v>18</v>
      </c>
      <c r="K7" s="8" t="s">
        <v>14</v>
      </c>
      <c r="L7" s="8"/>
      <c r="M7" s="8"/>
    </row>
    <row r="8" spans="1:13" ht="15.75" customHeight="1">
      <c r="A8" s="9" t="s">
        <v>19</v>
      </c>
      <c r="B8" s="8" t="s">
        <v>14</v>
      </c>
      <c r="C8" s="8" t="s">
        <v>15</v>
      </c>
      <c r="D8" s="8"/>
      <c r="E8" s="8" t="s">
        <v>20</v>
      </c>
      <c r="F8" s="8" t="s">
        <v>17</v>
      </c>
      <c r="G8" s="8"/>
      <c r="H8" s="8"/>
      <c r="I8" s="8"/>
      <c r="J8" s="8" t="s">
        <v>21</v>
      </c>
      <c r="K8" s="8" t="s">
        <v>14</v>
      </c>
      <c r="L8" s="8"/>
      <c r="M8" s="8"/>
    </row>
    <row r="9" spans="1:13" ht="15.75" customHeight="1">
      <c r="A9" s="10" t="s">
        <v>22</v>
      </c>
      <c r="B9" s="11" t="s">
        <v>23</v>
      </c>
      <c r="C9" s="11" t="s">
        <v>15</v>
      </c>
      <c r="D9" s="8"/>
      <c r="E9" s="8" t="s">
        <v>20</v>
      </c>
      <c r="F9" s="8" t="s">
        <v>17</v>
      </c>
      <c r="G9" s="8"/>
      <c r="H9" s="8"/>
      <c r="I9" s="8"/>
      <c r="J9" s="8" t="s">
        <v>24</v>
      </c>
      <c r="K9" s="8" t="s">
        <v>23</v>
      </c>
      <c r="L9" s="8"/>
      <c r="M9" s="8"/>
    </row>
    <row r="10" spans="1:13" ht="15.75" customHeight="1">
      <c r="A10" s="10" t="s">
        <v>25</v>
      </c>
      <c r="B10" s="11" t="s">
        <v>23</v>
      </c>
      <c r="C10" s="11" t="s">
        <v>15</v>
      </c>
      <c r="D10" s="8"/>
      <c r="E10" s="8" t="s">
        <v>20</v>
      </c>
      <c r="F10" s="8" t="s">
        <v>17</v>
      </c>
      <c r="G10" s="8"/>
      <c r="H10" s="8"/>
      <c r="I10" s="8"/>
      <c r="J10" s="8"/>
      <c r="K10" s="8" t="s">
        <v>23</v>
      </c>
      <c r="L10" s="8"/>
      <c r="M10" s="8"/>
    </row>
    <row r="11" spans="1:13" ht="15.75" customHeight="1">
      <c r="A11" s="10" t="s">
        <v>26</v>
      </c>
      <c r="B11" s="11" t="s">
        <v>23</v>
      </c>
      <c r="C11" s="11" t="s">
        <v>15</v>
      </c>
      <c r="D11" s="8"/>
      <c r="E11" s="8" t="s">
        <v>20</v>
      </c>
      <c r="F11" s="8" t="s">
        <v>17</v>
      </c>
      <c r="G11" s="8"/>
      <c r="H11" s="8"/>
      <c r="I11" s="8"/>
      <c r="J11" s="8"/>
      <c r="K11" s="8" t="s">
        <v>23</v>
      </c>
      <c r="L11" s="8"/>
      <c r="M11" s="8"/>
    </row>
    <row r="12" spans="1:13" ht="15.75" customHeight="1">
      <c r="A12" s="10" t="s">
        <v>27</v>
      </c>
      <c r="B12" s="11" t="s">
        <v>23</v>
      </c>
      <c r="C12" s="11" t="s">
        <v>15</v>
      </c>
      <c r="D12" s="8"/>
      <c r="E12" s="8" t="s">
        <v>20</v>
      </c>
      <c r="F12" s="8" t="s">
        <v>17</v>
      </c>
      <c r="G12" s="8"/>
      <c r="H12" s="8"/>
      <c r="I12" s="8"/>
      <c r="J12" s="8"/>
      <c r="K12" s="8" t="s">
        <v>23</v>
      </c>
      <c r="L12" s="8"/>
      <c r="M12" s="8"/>
    </row>
    <row r="13" spans="1:13" ht="12.75">
      <c r="A13" s="8" t="s">
        <v>28</v>
      </c>
      <c r="B13" s="11" t="s">
        <v>23</v>
      </c>
      <c r="C13" s="11" t="s">
        <v>15</v>
      </c>
      <c r="D13" s="8"/>
      <c r="E13" s="8" t="s">
        <v>20</v>
      </c>
      <c r="F13" s="8" t="s">
        <v>17</v>
      </c>
      <c r="G13" s="8"/>
      <c r="H13" s="8"/>
      <c r="I13" s="8"/>
      <c r="J13" s="8"/>
      <c r="K13" s="8" t="s">
        <v>23</v>
      </c>
      <c r="L13" s="8"/>
      <c r="M13" s="8"/>
    </row>
    <row r="14" spans="1:13" ht="12.75">
      <c r="A14" s="12" t="s">
        <v>29</v>
      </c>
      <c r="B14" s="8"/>
      <c r="C14" s="8"/>
      <c r="D14" s="8"/>
      <c r="E14" s="13"/>
      <c r="F14" s="8"/>
      <c r="G14" s="8"/>
      <c r="H14" s="8"/>
      <c r="I14" s="8"/>
      <c r="J14" s="8"/>
      <c r="K14" s="8"/>
      <c r="L14" s="8"/>
      <c r="M14" s="8"/>
    </row>
    <row r="15" spans="1:13" ht="12.75">
      <c r="A15" s="8" t="s">
        <v>32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2.75">
      <c r="A16" s="14" t="s">
        <v>33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2.75">
      <c r="A17" s="12" t="s">
        <v>39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2.75">
      <c r="A18" s="12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2.75">
      <c r="A19" s="14" t="s">
        <v>43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5.5">
      <c r="A20" s="13" t="s">
        <v>46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5">
      <c r="A21" s="9" t="s">
        <v>50</v>
      </c>
      <c r="B21" s="8" t="s">
        <v>14</v>
      </c>
      <c r="C21" s="8" t="s">
        <v>30</v>
      </c>
      <c r="D21" s="8"/>
      <c r="E21" s="8" t="s">
        <v>51</v>
      </c>
      <c r="F21" s="8" t="s">
        <v>17</v>
      </c>
      <c r="G21" s="8"/>
      <c r="H21" s="8"/>
      <c r="I21" s="8"/>
      <c r="J21" s="8" t="s">
        <v>37</v>
      </c>
      <c r="K21" s="8" t="s">
        <v>14</v>
      </c>
      <c r="L21" s="8"/>
      <c r="M21" s="8" t="s">
        <v>52</v>
      </c>
    </row>
    <row r="22" spans="1:13" ht="15">
      <c r="A22" s="10" t="s">
        <v>53</v>
      </c>
      <c r="B22" s="11" t="s">
        <v>14</v>
      </c>
      <c r="C22" s="8" t="s">
        <v>30</v>
      </c>
      <c r="D22" s="8"/>
      <c r="E22" s="8" t="s">
        <v>51</v>
      </c>
      <c r="F22" s="8" t="s">
        <v>54</v>
      </c>
      <c r="G22" s="8"/>
      <c r="H22" s="8"/>
      <c r="I22" s="8"/>
      <c r="J22" s="8" t="s">
        <v>37</v>
      </c>
      <c r="K22" s="8" t="s">
        <v>14</v>
      </c>
      <c r="L22" s="8"/>
      <c r="M22" s="8" t="s">
        <v>52</v>
      </c>
    </row>
    <row r="23" spans="1:13" ht="15">
      <c r="A23" s="10" t="s">
        <v>55</v>
      </c>
      <c r="B23" s="11" t="s">
        <v>14</v>
      </c>
      <c r="C23" s="8" t="s">
        <v>30</v>
      </c>
      <c r="D23" s="8"/>
      <c r="E23" s="8" t="s">
        <v>51</v>
      </c>
      <c r="F23" s="8" t="s">
        <v>54</v>
      </c>
      <c r="G23" s="8"/>
      <c r="H23" s="8"/>
      <c r="I23" s="8"/>
      <c r="J23" s="8" t="s">
        <v>37</v>
      </c>
      <c r="K23" s="8" t="s">
        <v>14</v>
      </c>
      <c r="L23" s="8"/>
      <c r="M23" s="8" t="s">
        <v>52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5:M23"/>
  <sheetViews>
    <sheetView workbookViewId="0"/>
  </sheetViews>
  <sheetFormatPr defaultColWidth="12.5703125" defaultRowHeight="15.75" customHeight="1"/>
  <cols>
    <col min="1" max="1" width="25.42578125" customWidth="1"/>
    <col min="2" max="2" width="14.85546875" customWidth="1"/>
    <col min="3" max="3" width="19.85546875" customWidth="1"/>
    <col min="4" max="4" width="25.42578125" customWidth="1"/>
    <col min="5" max="6" width="23.1406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38.85546875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8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/>
      <c r="I7" s="8"/>
      <c r="J7" s="8" t="s">
        <v>18</v>
      </c>
      <c r="K7" s="8" t="s">
        <v>14</v>
      </c>
      <c r="L7" s="8"/>
      <c r="M7" s="8"/>
    </row>
    <row r="8" spans="1:13" ht="15.75" customHeight="1">
      <c r="A8" s="9" t="s">
        <v>19</v>
      </c>
      <c r="B8" s="8" t="s">
        <v>14</v>
      </c>
      <c r="C8" s="8" t="s">
        <v>15</v>
      </c>
      <c r="D8" s="8"/>
      <c r="E8" s="8" t="s">
        <v>20</v>
      </c>
      <c r="F8" s="8" t="s">
        <v>17</v>
      </c>
      <c r="G8" s="8"/>
      <c r="H8" s="8"/>
      <c r="I8" s="8"/>
      <c r="J8" s="8" t="s">
        <v>21</v>
      </c>
      <c r="K8" s="8" t="s">
        <v>14</v>
      </c>
      <c r="L8" s="8"/>
      <c r="M8" s="8"/>
    </row>
    <row r="9" spans="1:13" ht="15.75" customHeight="1">
      <c r="A9" s="10" t="s">
        <v>22</v>
      </c>
      <c r="B9" s="11" t="s">
        <v>23</v>
      </c>
      <c r="C9" s="11" t="s">
        <v>15</v>
      </c>
      <c r="D9" s="8"/>
      <c r="E9" s="8" t="s">
        <v>20</v>
      </c>
      <c r="F9" s="8" t="s">
        <v>17</v>
      </c>
      <c r="G9" s="8"/>
      <c r="H9" s="8"/>
      <c r="I9" s="8"/>
      <c r="J9" s="8" t="s">
        <v>24</v>
      </c>
      <c r="K9" s="8" t="s">
        <v>23</v>
      </c>
      <c r="L9" s="8"/>
      <c r="M9" s="8"/>
    </row>
    <row r="10" spans="1:13" ht="15.75" customHeight="1">
      <c r="A10" s="10" t="s">
        <v>25</v>
      </c>
      <c r="B10" s="11" t="s">
        <v>23</v>
      </c>
      <c r="C10" s="11" t="s">
        <v>15</v>
      </c>
      <c r="D10" s="8"/>
      <c r="E10" s="8" t="s">
        <v>20</v>
      </c>
      <c r="F10" s="8" t="s">
        <v>17</v>
      </c>
      <c r="G10" s="8"/>
      <c r="H10" s="8"/>
      <c r="I10" s="8"/>
      <c r="J10" s="8"/>
      <c r="K10" s="8" t="s">
        <v>23</v>
      </c>
      <c r="L10" s="8"/>
      <c r="M10" s="8"/>
    </row>
    <row r="11" spans="1:13" ht="15.75" customHeight="1">
      <c r="A11" s="10" t="s">
        <v>26</v>
      </c>
      <c r="B11" s="11" t="s">
        <v>23</v>
      </c>
      <c r="C11" s="11" t="s">
        <v>15</v>
      </c>
      <c r="D11" s="8"/>
      <c r="E11" s="8" t="s">
        <v>20</v>
      </c>
      <c r="F11" s="8" t="s">
        <v>17</v>
      </c>
      <c r="G11" s="8"/>
      <c r="H11" s="8"/>
      <c r="I11" s="8"/>
      <c r="J11" s="8"/>
      <c r="K11" s="8" t="s">
        <v>23</v>
      </c>
      <c r="L11" s="8"/>
      <c r="M11" s="8"/>
    </row>
    <row r="12" spans="1:13" ht="15.75" customHeight="1">
      <c r="A12" s="10" t="s">
        <v>27</v>
      </c>
      <c r="B12" s="11" t="s">
        <v>23</v>
      </c>
      <c r="C12" s="11" t="s">
        <v>15</v>
      </c>
      <c r="D12" s="8"/>
      <c r="E12" s="8" t="s">
        <v>20</v>
      </c>
      <c r="F12" s="8" t="s">
        <v>17</v>
      </c>
      <c r="G12" s="8"/>
      <c r="H12" s="8"/>
      <c r="I12" s="8"/>
      <c r="J12" s="8"/>
      <c r="K12" s="8" t="s">
        <v>23</v>
      </c>
      <c r="L12" s="8"/>
      <c r="M12" s="8"/>
    </row>
    <row r="13" spans="1:13" ht="12.75">
      <c r="A13" s="8" t="s">
        <v>28</v>
      </c>
      <c r="B13" s="11" t="s">
        <v>23</v>
      </c>
      <c r="C13" s="11" t="s">
        <v>15</v>
      </c>
      <c r="D13" s="8"/>
      <c r="E13" s="8" t="s">
        <v>20</v>
      </c>
      <c r="F13" s="8" t="s">
        <v>17</v>
      </c>
      <c r="G13" s="8"/>
      <c r="H13" s="8"/>
      <c r="I13" s="8"/>
      <c r="J13" s="8"/>
      <c r="K13" s="8" t="s">
        <v>23</v>
      </c>
      <c r="L13" s="8"/>
      <c r="M13" s="8"/>
    </row>
    <row r="14" spans="1:13" ht="12.75">
      <c r="A14" s="12" t="s">
        <v>29</v>
      </c>
      <c r="B14" s="8"/>
      <c r="C14" s="8"/>
      <c r="D14" s="8"/>
      <c r="E14" s="13"/>
      <c r="F14" s="8"/>
      <c r="G14" s="8"/>
      <c r="H14" s="8"/>
      <c r="I14" s="8"/>
      <c r="J14" s="8"/>
      <c r="K14" s="8"/>
      <c r="L14" s="8"/>
      <c r="M14" s="8"/>
    </row>
    <row r="15" spans="1:13" ht="12.75">
      <c r="A15" s="8" t="s">
        <v>32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2.75">
      <c r="A16" s="14" t="s">
        <v>33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2.75">
      <c r="A17" s="12" t="s">
        <v>39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2.75">
      <c r="A18" s="12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2.75">
      <c r="A19" s="14" t="s">
        <v>43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5.5">
      <c r="A20" s="13" t="s">
        <v>46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5">
      <c r="A21" s="9" t="s">
        <v>50</v>
      </c>
      <c r="B21" s="8" t="s">
        <v>14</v>
      </c>
      <c r="C21" s="8" t="s">
        <v>30</v>
      </c>
      <c r="D21" s="8"/>
      <c r="E21" s="8" t="s">
        <v>51</v>
      </c>
      <c r="F21" s="8" t="s">
        <v>17</v>
      </c>
      <c r="G21" s="8"/>
      <c r="H21" s="8"/>
      <c r="I21" s="8"/>
      <c r="J21" s="8" t="s">
        <v>37</v>
      </c>
      <c r="K21" s="8" t="s">
        <v>14</v>
      </c>
      <c r="L21" s="8"/>
      <c r="M21" s="8" t="s">
        <v>52</v>
      </c>
    </row>
    <row r="22" spans="1:13" ht="15">
      <c r="A22" s="10" t="s">
        <v>53</v>
      </c>
      <c r="B22" s="11" t="s">
        <v>14</v>
      </c>
      <c r="C22" s="8" t="s">
        <v>30</v>
      </c>
      <c r="D22" s="8"/>
      <c r="E22" s="8" t="s">
        <v>51</v>
      </c>
      <c r="F22" s="8" t="s">
        <v>54</v>
      </c>
      <c r="G22" s="8"/>
      <c r="H22" s="8"/>
      <c r="I22" s="8"/>
      <c r="J22" s="8" t="s">
        <v>37</v>
      </c>
      <c r="K22" s="8" t="s">
        <v>14</v>
      </c>
      <c r="L22" s="8"/>
      <c r="M22" s="8" t="s">
        <v>52</v>
      </c>
    </row>
    <row r="23" spans="1:13" ht="15">
      <c r="A23" s="10" t="s">
        <v>55</v>
      </c>
      <c r="B23" s="11" t="s">
        <v>14</v>
      </c>
      <c r="C23" s="8" t="s">
        <v>30</v>
      </c>
      <c r="D23" s="8"/>
      <c r="E23" s="8" t="s">
        <v>51</v>
      </c>
      <c r="F23" s="8" t="s">
        <v>54</v>
      </c>
      <c r="G23" s="8"/>
      <c r="H23" s="8"/>
      <c r="I23" s="8"/>
      <c r="J23" s="8" t="s">
        <v>37</v>
      </c>
      <c r="K23" s="8" t="s">
        <v>14</v>
      </c>
      <c r="L23" s="8"/>
      <c r="M23" s="8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TyT</vt:lpstr>
      <vt:lpstr>detalle cronograma</vt:lpstr>
      <vt:lpstr>estimado tiempos</vt:lpstr>
      <vt:lpstr>CTT</vt:lpstr>
      <vt:lpstr>EST</vt:lpstr>
      <vt:lpstr>TOLEPU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2022-12-16T21:23:25Z</dcterms:created>
  <dcterms:modified xsi:type="dcterms:W3CDTF">2022-12-20T23:19:27Z</dcterms:modified>
</cp:coreProperties>
</file>